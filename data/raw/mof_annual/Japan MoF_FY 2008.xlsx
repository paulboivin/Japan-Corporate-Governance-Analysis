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 ONE\Desktop\Portoflio Projects\Projects RAW\Project 2 Japan_Governance_Analysis\data\raw\mof_annual\"/>
    </mc:Choice>
  </mc:AlternateContent>
  <xr:revisionPtr revIDLastSave="0" documentId="8_{A01BCF19-D7DB-40C8-B710-F78036176896}" xr6:coauthVersionLast="47" xr6:coauthVersionMax="47" xr10:uidLastSave="{00000000-0000-0000-0000-000000000000}"/>
  <bookViews>
    <workbookView xWindow="-110" yWindow="-110" windowWidth="19420" windowHeight="10300" xr2:uid="{C6D5319B-117E-4AD7-9D27-4D8A742835C5}"/>
  </bookViews>
  <sheets>
    <sheet name="1" sheetId="11" r:id="rId1"/>
    <sheet name="2" sheetId="10" r:id="rId2"/>
    <sheet name="2-1" sheetId="9" r:id="rId3"/>
    <sheet name="3" sheetId="8" r:id="rId4"/>
    <sheet name="4" sheetId="7" r:id="rId5"/>
    <sheet name="5" sheetId="6" r:id="rId6"/>
    <sheet name="6" sheetId="5" r:id="rId7"/>
    <sheet name="7" sheetId="4" r:id="rId8"/>
    <sheet name="8" sheetId="1" r:id="rId9"/>
    <sheet name="9" sheetId="2" r:id="rId10"/>
    <sheet name="10" sheetId="3" r:id="rId11"/>
    <sheet name="11" sheetId="12" r:id="rId12"/>
    <sheet name="12" sheetId="13" r:id="rId13"/>
    <sheet name="13" sheetId="14" r:id="rId14"/>
    <sheet name="14" sheetId="15" r:id="rId15"/>
  </sheets>
  <definedNames>
    <definedName name="_xlnm.Print_Area" localSheetId="11">'11'!$A$1:$AF$38</definedName>
    <definedName name="_xlnm.Print_Area" localSheetId="12">'12'!$A$1:$L$41</definedName>
    <definedName name="_xlnm.Print_Area" localSheetId="13">'13'!$A$1:$AC$43</definedName>
    <definedName name="_xlnm.Print_Area" localSheetId="14">'14'!$A$1:$W$29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2" l="1"/>
  <c r="G25" i="2"/>
  <c r="E25" i="2"/>
  <c r="C25" i="2"/>
  <c r="I23" i="2"/>
  <c r="G23" i="2"/>
  <c r="E23" i="2"/>
  <c r="C23" i="2"/>
  <c r="I21" i="2"/>
  <c r="G21" i="2"/>
  <c r="E21" i="2"/>
  <c r="C21" i="2"/>
  <c r="I19" i="2"/>
  <c r="G19" i="2"/>
  <c r="E19" i="2"/>
  <c r="C19" i="2"/>
  <c r="I17" i="2"/>
  <c r="G17" i="2"/>
  <c r="E17" i="2"/>
  <c r="C17" i="2"/>
  <c r="I15" i="2"/>
  <c r="G15" i="2"/>
  <c r="E15" i="2"/>
  <c r="C15" i="2"/>
  <c r="I13" i="2"/>
  <c r="G13" i="2"/>
  <c r="C13" i="2"/>
  <c r="I11" i="2"/>
  <c r="G11" i="2"/>
  <c r="E11" i="2"/>
  <c r="C11" i="2"/>
  <c r="I9" i="2"/>
  <c r="G9" i="2"/>
  <c r="E9" i="2"/>
  <c r="C9" i="2"/>
  <c r="I7" i="2"/>
  <c r="G7" i="2"/>
  <c r="E7" i="2"/>
  <c r="C7" i="2"/>
  <c r="I17" i="6"/>
  <c r="G17" i="6"/>
  <c r="C17" i="6"/>
  <c r="I15" i="6"/>
  <c r="G15" i="6"/>
  <c r="E15" i="6"/>
  <c r="C15" i="6"/>
  <c r="I13" i="6"/>
  <c r="G13" i="6"/>
  <c r="E13" i="6"/>
  <c r="C13" i="6"/>
  <c r="I11" i="6"/>
  <c r="G11" i="6"/>
  <c r="E11" i="6"/>
  <c r="C11" i="6"/>
  <c r="I9" i="6"/>
  <c r="E9" i="6"/>
  <c r="C9" i="6"/>
  <c r="I7" i="6"/>
  <c r="G7" i="6"/>
  <c r="E7" i="6"/>
  <c r="C7" i="6"/>
  <c r="I11" i="7"/>
  <c r="G11" i="7"/>
  <c r="E11" i="7"/>
  <c r="C11" i="7"/>
  <c r="I9" i="7"/>
  <c r="G9" i="7"/>
  <c r="E9" i="7"/>
  <c r="C9" i="7"/>
  <c r="I7" i="7"/>
  <c r="G7" i="7"/>
  <c r="E7" i="7"/>
  <c r="C7" i="7"/>
</calcChain>
</file>

<file path=xl/sharedStrings.xml><?xml version="1.0" encoding="utf-8"?>
<sst xmlns="http://schemas.openxmlformats.org/spreadsheetml/2006/main" count="895" uniqueCount="458">
  <si>
    <t>Financial Statements Statistics of Corporations by Industry,Annually</t>
    <phoneticPr fontId="1"/>
  </si>
  <si>
    <t>1.Sales</t>
    <phoneticPr fontId="1"/>
  </si>
  <si>
    <t>(100 million yen,％)</t>
    <phoneticPr fontId="1"/>
  </si>
  <si>
    <t>Classification</t>
    <phoneticPr fontId="1"/>
  </si>
  <si>
    <t>Percent
change</t>
    <phoneticPr fontId="1"/>
  </si>
  <si>
    <t>All Industries</t>
    <phoneticPr fontId="1"/>
  </si>
  <si>
    <t>　Manufacturing</t>
    <phoneticPr fontId="1"/>
  </si>
  <si>
    <t>　　Food</t>
    <phoneticPr fontId="1"/>
  </si>
  <si>
    <t>　　Chemicals</t>
    <phoneticPr fontId="1"/>
  </si>
  <si>
    <t>　　Petroleum and coal products</t>
    <phoneticPr fontId="1"/>
  </si>
  <si>
    <t>　　Iron and steel</t>
    <phoneticPr fontId="1"/>
  </si>
  <si>
    <t>　　Metal products</t>
    <phoneticPr fontId="1"/>
  </si>
  <si>
    <t>　　General machinery</t>
    <phoneticPr fontId="1"/>
  </si>
  <si>
    <t>　　Transportation machinery</t>
    <phoneticPr fontId="1"/>
  </si>
  <si>
    <t>　Non-Manufacturing</t>
    <phoneticPr fontId="1"/>
  </si>
  <si>
    <t>　　Construction</t>
    <phoneticPr fontId="1"/>
  </si>
  <si>
    <t>　　Wholesaling and retailing</t>
    <phoneticPr fontId="1"/>
  </si>
  <si>
    <t>　　Real estate</t>
    <phoneticPr fontId="1"/>
  </si>
  <si>
    <t>　　Electricity</t>
    <phoneticPr fontId="1"/>
  </si>
  <si>
    <t>　　Services</t>
    <phoneticPr fontId="1"/>
  </si>
  <si>
    <t>Corporations with capital of</t>
    <phoneticPr fontId="1"/>
  </si>
  <si>
    <t>　1 billion yen or over</t>
    <phoneticPr fontId="1"/>
  </si>
  <si>
    <t>　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</si>
  <si>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</si>
  <si>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</si>
  <si>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　　　2.Ordinary profits</t>
    <phoneticPr fontId="1"/>
  </si>
  <si>
    <t xml:space="preserve">  100 million to 1 billion yen</t>
    <phoneticPr fontId="1"/>
  </si>
  <si>
    <t>(Reference)</t>
    <phoneticPr fontId="1"/>
  </si>
  <si>
    <t>　　　　　Operating profits</t>
    <phoneticPr fontId="1"/>
  </si>
  <si>
    <t>3.Ratios of operating profits and ordinary profits to sales</t>
    <phoneticPr fontId="1"/>
  </si>
  <si>
    <t>(％)</t>
    <phoneticPr fontId="1"/>
  </si>
  <si>
    <t>Ratio of operating profits to sales</t>
    <phoneticPr fontId="1"/>
  </si>
  <si>
    <t>Ratio of ordinary profits to sales</t>
    <phoneticPr fontId="1"/>
  </si>
  <si>
    <t xml:space="preserve">  1 billion yen or over</t>
    <phoneticPr fontId="1"/>
  </si>
  <si>
    <t>　　　　　4.Cash dividends</t>
    <phoneticPr fontId="1"/>
  </si>
  <si>
    <t>(100 million yen,％)</t>
    <phoneticPr fontId="1"/>
  </si>
  <si>
    <t>Classification</t>
    <phoneticPr fontId="1"/>
  </si>
  <si>
    <t>Ratio of
component</t>
    <phoneticPr fontId="1"/>
  </si>
  <si>
    <t>Net profits for the period</t>
    <phoneticPr fontId="1"/>
  </si>
  <si>
    <t>Bonus for directors</t>
    <phoneticPr fontId="1"/>
  </si>
  <si>
    <t>-</t>
  </si>
  <si>
    <t>Dividends</t>
    <phoneticPr fontId="1"/>
  </si>
  <si>
    <t>Internal reserves</t>
    <phoneticPr fontId="1"/>
  </si>
  <si>
    <t>Notes : 1.Net profits for the period = ordinary profits + special profits - special losses - corporation tax and inhabitants' tax and enterprise tax - tax expenses adject</t>
    <phoneticPr fontId="1"/>
  </si>
  <si>
    <t xml:space="preserve">        2.Since fiscal year 2007, the bonus for directors is treated as a cost item substituted for a profit disposal items, therefore it indicates “-”</t>
    <phoneticPr fontId="1"/>
  </si>
  <si>
    <t>　　　　5.Value added</t>
    <phoneticPr fontId="1"/>
  </si>
  <si>
    <t>Value added</t>
    <phoneticPr fontId="1"/>
  </si>
  <si>
    <t>Salaries and wages</t>
    <phoneticPr fontId="1"/>
  </si>
  <si>
    <t>Interest</t>
    <phoneticPr fontId="1"/>
  </si>
  <si>
    <t>Rental or leasing expenses for fixed and liquid assets</t>
    <phoneticPr fontId="1"/>
  </si>
  <si>
    <t>Taxes and public charges</t>
    <phoneticPr fontId="1"/>
  </si>
  <si>
    <t>Net operating income</t>
    <phoneticPr fontId="1"/>
  </si>
  <si>
    <t>Ratio of value added</t>
  </si>
  <si>
    <t>Labor productivity(10 thousand yen)</t>
    <phoneticPr fontId="1"/>
  </si>
  <si>
    <t xml:space="preserve">Notes : 1.Value added = salaries and wages + interest   + rental or leasing expenses for fixed and liquid assets + </t>
    <phoneticPr fontId="1"/>
  </si>
  <si>
    <t xml:space="preserve">                        taxes and public charges + net operating income(operating income -interest and discounting expenses) </t>
    <phoneticPr fontId="1"/>
  </si>
  <si>
    <t xml:space="preserve">         Before 2006 : Personal expenses = Directors' remuneration + Salaries and wages(including Bonus for employees) + Welfare expenses</t>
    <phoneticPr fontId="1"/>
  </si>
  <si>
    <t xml:space="preserve">         After  2007 : Personal expenses = Directors' remuneration + Bonus for directors + Salaries and wages + Bonus for employees + Welfare expenses</t>
    <phoneticPr fontId="1"/>
  </si>
  <si>
    <t xml:space="preserve">         Since fiscal year 2007 , the bonus for directors is treated as a cost item substituted for a profit disposal items</t>
    <phoneticPr fontId="1"/>
  </si>
  <si>
    <t xml:space="preserve">         Salaries and wages , and bonus for employees are treated separately since fiscal year 2007.</t>
    <phoneticPr fontId="1"/>
  </si>
  <si>
    <t xml:space="preserve">        2.Net operating income = operating income - interest</t>
    <phoneticPr fontId="1"/>
  </si>
  <si>
    <t xml:space="preserve">        3.Ratio of value added =</t>
    <phoneticPr fontId="1"/>
  </si>
  <si>
    <t>value added</t>
  </si>
  <si>
    <t xml:space="preserve"> ×100</t>
    <phoneticPr fontId="1"/>
  </si>
  <si>
    <t>sales</t>
  </si>
  <si>
    <t xml:space="preserve">        4.Labor productivity =</t>
    <phoneticPr fontId="1"/>
  </si>
  <si>
    <t>value added</t>
    <phoneticPr fontId="1"/>
  </si>
  <si>
    <t>number of employees</t>
    <phoneticPr fontId="1"/>
  </si>
  <si>
    <t xml:space="preserve">6.Investment in plant and equipment </t>
    <phoneticPr fontId="1"/>
  </si>
  <si>
    <t>Percent
change</t>
    <phoneticPr fontId="1"/>
  </si>
  <si>
    <t>All Industries</t>
    <phoneticPr fontId="1"/>
  </si>
  <si>
    <t>　Manufacturing</t>
    <phoneticPr fontId="1"/>
  </si>
  <si>
    <t>　　Food</t>
    <phoneticPr fontId="1"/>
  </si>
  <si>
    <t>　　Chemicals</t>
    <phoneticPr fontId="1"/>
  </si>
  <si>
    <t>　　Petroleum and coal products</t>
    <phoneticPr fontId="1"/>
  </si>
  <si>
    <t>　　Iron and steel</t>
    <phoneticPr fontId="1"/>
  </si>
  <si>
    <t>　　Metal products</t>
    <phoneticPr fontId="1"/>
  </si>
  <si>
    <t>　　General machinery</t>
    <phoneticPr fontId="1"/>
  </si>
  <si>
    <t>　　Transportation machinery</t>
    <phoneticPr fontId="1"/>
  </si>
  <si>
    <t>　Non-Manufacturing</t>
    <phoneticPr fontId="1"/>
  </si>
  <si>
    <t>　　Construction</t>
    <phoneticPr fontId="1"/>
  </si>
  <si>
    <t>　　Wholesaling and retailing</t>
    <phoneticPr fontId="1"/>
  </si>
  <si>
    <t>　　Real estate</t>
    <phoneticPr fontId="1"/>
  </si>
  <si>
    <t>　　Electricity</t>
    <phoneticPr fontId="1"/>
  </si>
  <si>
    <t>　　Services</t>
    <phoneticPr fontId="1"/>
  </si>
  <si>
    <t>Corporations with capital of</t>
    <phoneticPr fontId="1"/>
  </si>
  <si>
    <t xml:space="preserve">  1 billion yen or over</t>
    <phoneticPr fontId="1"/>
  </si>
  <si>
    <t xml:space="preserve">  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</si>
  <si>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</si>
  <si>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</si>
  <si>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Notes : 1.Investment in plant and equipment = increases of tangible fixed assets(excluding land)+depreciation expenses.</t>
    <phoneticPr fontId="1"/>
  </si>
  <si>
    <t xml:space="preserve">        2.Figures include investment in software.Figures of the lower row exclude investment in software.</t>
    <phoneticPr fontId="1"/>
  </si>
  <si>
    <t>7.Increases in inventories</t>
    <phoneticPr fontId="1"/>
  </si>
  <si>
    <t>Classification</t>
    <phoneticPr fontId="1"/>
  </si>
  <si>
    <t>All Industries</t>
    <phoneticPr fontId="1"/>
  </si>
  <si>
    <t xml:space="preserve">  Finished goods and merchandise</t>
    <phoneticPr fontId="1"/>
  </si>
  <si>
    <t xml:space="preserve">  Goods in process</t>
    <phoneticPr fontId="1"/>
  </si>
  <si>
    <t xml:space="preserve">  Raw materials and goods in storage</t>
    <phoneticPr fontId="1"/>
  </si>
  <si>
    <t xml:space="preserve">Manufacturing </t>
    <phoneticPr fontId="1"/>
  </si>
  <si>
    <t xml:space="preserve">  Petroleum and coal products</t>
    <phoneticPr fontId="1"/>
  </si>
  <si>
    <t>　Iron and steel</t>
    <phoneticPr fontId="1"/>
  </si>
  <si>
    <t xml:space="preserve">  General machinery</t>
    <phoneticPr fontId="1"/>
  </si>
  <si>
    <t xml:space="preserve">  Precision machinery</t>
    <phoneticPr fontId="1"/>
  </si>
  <si>
    <t>Non-Manufacturing</t>
    <phoneticPr fontId="1"/>
  </si>
  <si>
    <t xml:space="preserve">  Construction</t>
    <phoneticPr fontId="1"/>
  </si>
  <si>
    <t xml:space="preserve">  Wholesaling and retailing</t>
    <phoneticPr fontId="1"/>
  </si>
  <si>
    <t xml:space="preserve">  Real estate</t>
    <phoneticPr fontId="1"/>
  </si>
  <si>
    <t>Ratio of inventories to sales</t>
    <phoneticPr fontId="1"/>
  </si>
  <si>
    <t>Notes : 1.Increases in inventories mean increases in inventories during the period.</t>
    <phoneticPr fontId="1"/>
  </si>
  <si>
    <t>inventories (end of the period)</t>
    <phoneticPr fontId="1"/>
  </si>
  <si>
    <t xml:space="preserve"> ×100</t>
    <phoneticPr fontId="1"/>
  </si>
  <si>
    <t>sales</t>
    <phoneticPr fontId="1"/>
  </si>
  <si>
    <t>(100 million yen,％)</t>
    <phoneticPr fontId="1"/>
  </si>
  <si>
    <t>Classification</t>
    <phoneticPr fontId="1"/>
  </si>
  <si>
    <t>Percent
change</t>
    <phoneticPr fontId="1"/>
  </si>
  <si>
    <t>Bills and accounts receivable</t>
    <phoneticPr fontId="1"/>
  </si>
  <si>
    <t>Bills and accounts payable</t>
    <phoneticPr fontId="1"/>
  </si>
  <si>
    <t>Short-term borrowings</t>
    <phoneticPr fontId="1"/>
  </si>
  <si>
    <t>Long-term borrowings</t>
    <phoneticPr fontId="1"/>
  </si>
  <si>
    <t>Cash and deposits</t>
    <phoneticPr fontId="1"/>
  </si>
  <si>
    <t>cash and deposits + short-term securities(average of the beginning and the end of fiscal year)</t>
    <phoneticPr fontId="1"/>
  </si>
  <si>
    <t>Ratio of
component</t>
    <phoneticPr fontId="1"/>
  </si>
  <si>
    <t>　Raising of funds</t>
    <phoneticPr fontId="1"/>
  </si>
  <si>
    <t>　　External funds</t>
    <phoneticPr fontId="1"/>
  </si>
  <si>
    <t>　　　Capital increases</t>
    <phoneticPr fontId="1"/>
  </si>
  <si>
    <t>　　　Bond issues</t>
    <phoneticPr fontId="1"/>
  </si>
  <si>
    <t>　　　Total borrowings</t>
    <phoneticPr fontId="1"/>
  </si>
  <si>
    <t>　　　Long-term borrowings</t>
    <phoneticPr fontId="1"/>
  </si>
  <si>
    <t>　　　Short-term borrowings</t>
    <phoneticPr fontId="1"/>
  </si>
  <si>
    <t>　　Internal funds</t>
    <phoneticPr fontId="1"/>
  </si>
  <si>
    <t>　　　Internal reserves</t>
    <phoneticPr fontId="1"/>
  </si>
  <si>
    <t>　　　Depreciation expenses</t>
    <phoneticPr fontId="1"/>
  </si>
  <si>
    <t>Notes : 1.Capital increases = increase of capital stock , capital reserves and subscription rights to shares.</t>
    <phoneticPr fontId="1"/>
  </si>
  <si>
    <t xml:space="preserve">        2.Amounts of bills receivable discounted are included in short-term borrowings.</t>
    <phoneticPr fontId="1"/>
  </si>
  <si>
    <t xml:space="preserve">        3.Internal reserves = increase of earned surplus (minus treasury stock), allowance, allowance by special laws</t>
    <phoneticPr fontId="1"/>
  </si>
  <si>
    <t xml:space="preserve">          and a part of liabilities (such as accrued expense) during a year.</t>
    <phoneticPr fontId="1"/>
  </si>
  <si>
    <t xml:space="preserve">        When the amount of increase of [(bills receivable + accounts receivable + bills receivable discounted) - (bills</t>
    <phoneticPr fontId="1"/>
  </si>
  <si>
    <t xml:space="preserve">        payable + accounts payable)] is negative, the absolute value of the amount is counted as internal reserves.</t>
    <phoneticPr fontId="1"/>
  </si>
  <si>
    <t xml:space="preserve">        4.Special depreciation expenses are included in depreciation expenses.</t>
    <phoneticPr fontId="1"/>
  </si>
  <si>
    <t>10.Ratio of net worth</t>
    <phoneticPr fontId="1"/>
  </si>
  <si>
    <t>(％)</t>
    <phoneticPr fontId="1"/>
  </si>
  <si>
    <t>Classification</t>
    <phoneticPr fontId="1"/>
  </si>
  <si>
    <t>All Industries</t>
    <phoneticPr fontId="1"/>
  </si>
  <si>
    <t xml:space="preserve">  Manufacturing</t>
    <phoneticPr fontId="1"/>
  </si>
  <si>
    <t>Corporations with capital of</t>
    <phoneticPr fontId="1"/>
  </si>
  <si>
    <t xml:space="preserve">  1 billion yen or over</t>
    <phoneticPr fontId="1"/>
  </si>
  <si>
    <t xml:space="preserve">  100 million to 1 billion yen</t>
    <phoneticPr fontId="1"/>
  </si>
  <si>
    <t xml:space="preserve">  10 to 100 million yen</t>
    <phoneticPr fontId="1"/>
  </si>
  <si>
    <t xml:space="preserve">  under 10 million yen</t>
    <phoneticPr fontId="1"/>
  </si>
  <si>
    <t>Notes : 1.Ratio of net worth =</t>
    <phoneticPr fontId="1"/>
  </si>
  <si>
    <t>Net assets - Subscription rights to shares</t>
    <phoneticPr fontId="1"/>
  </si>
  <si>
    <t xml:space="preserve"> ×100</t>
    <phoneticPr fontId="1"/>
  </si>
  <si>
    <t>Liabilities and Net assets</t>
    <phoneticPr fontId="1"/>
  </si>
  <si>
    <t>a　Electrical machinery</t>
    <phoneticPr fontId="1"/>
  </si>
  <si>
    <t>b　Information communication electronics</t>
    <phoneticPr fontId="1"/>
  </si>
  <si>
    <t>[ 815,489]</t>
    <phoneticPr fontId="1"/>
  </si>
  <si>
    <t>[16.6]</t>
    <phoneticPr fontId="1"/>
  </si>
  <si>
    <t>[ 781,052]</t>
    <phoneticPr fontId="1"/>
  </si>
  <si>
    <t>[835,707]</t>
    <phoneticPr fontId="1"/>
  </si>
  <si>
    <t>[7.0]</t>
    <phoneticPr fontId="1"/>
  </si>
  <si>
    <t>[851,394]</t>
    <phoneticPr fontId="1"/>
  </si>
  <si>
    <t>[1.9]</t>
    <phoneticPr fontId="1"/>
  </si>
  <si>
    <t>[-4.2]</t>
    <phoneticPr fontId="1"/>
  </si>
  <si>
    <t>[ including eating and drinking places ]</t>
    <phoneticPr fontId="1"/>
  </si>
  <si>
    <t>[5,558,053]</t>
    <phoneticPr fontId="1"/>
  </si>
  <si>
    <t>[8.9]</t>
    <phoneticPr fontId="1"/>
  </si>
  <si>
    <t>[5,545,506]</t>
    <phoneticPr fontId="1"/>
  </si>
  <si>
    <t>[-0.2]</t>
    <phoneticPr fontId="1"/>
  </si>
  <si>
    <t>[5,996,151]</t>
    <phoneticPr fontId="1"/>
  </si>
  <si>
    <t>[8.1]</t>
    <phoneticPr fontId="1"/>
  </si>
  <si>
    <t>[6,125,037]</t>
    <phoneticPr fontId="1"/>
  </si>
  <si>
    <t>[2.1]</t>
    <phoneticPr fontId="1"/>
  </si>
  <si>
    <t>[ a ＋　b ]</t>
    <phoneticPr fontId="1"/>
  </si>
  <si>
    <t>[ c ＋ d ]</t>
    <phoneticPr fontId="1"/>
  </si>
  <si>
    <t>c　Information communications</t>
    <phoneticPr fontId="1"/>
  </si>
  <si>
    <t>d　Transportation</t>
    <phoneticPr fontId="1"/>
  </si>
  <si>
    <t>[1,115,603]</t>
    <phoneticPr fontId="1"/>
  </si>
  <si>
    <t>[33.9]</t>
    <phoneticPr fontId="1"/>
  </si>
  <si>
    <t>[1,135,690]</t>
    <phoneticPr fontId="1"/>
  </si>
  <si>
    <t>[1.8]</t>
    <phoneticPr fontId="1"/>
  </si>
  <si>
    <t>[1,266,816]</t>
    <phoneticPr fontId="1"/>
  </si>
  <si>
    <t>[11.5]</t>
    <phoneticPr fontId="1"/>
  </si>
  <si>
    <t>[1,231,976]</t>
    <phoneticPr fontId="1"/>
  </si>
  <si>
    <t>[-2.8]</t>
    <phoneticPr fontId="1"/>
  </si>
  <si>
    <t>a　Electrical machinery</t>
    <phoneticPr fontId="1"/>
  </si>
  <si>
    <t>[ a ＋ b ]</t>
    <phoneticPr fontId="1"/>
  </si>
  <si>
    <t>[29,753]</t>
    <phoneticPr fontId="1"/>
  </si>
  <si>
    <t>[39.1]</t>
    <phoneticPr fontId="1"/>
  </si>
  <si>
    <t>[26,667]</t>
    <phoneticPr fontId="1"/>
  </si>
  <si>
    <t>[-10.4]</t>
    <phoneticPr fontId="1"/>
  </si>
  <si>
    <t>[33,409]</t>
    <phoneticPr fontId="1"/>
  </si>
  <si>
    <t>[25.3]</t>
    <phoneticPr fontId="1"/>
  </si>
  <si>
    <t>[33,056]</t>
    <phoneticPr fontId="1"/>
  </si>
  <si>
    <t>[-1.1]</t>
    <phoneticPr fontId="1"/>
  </si>
  <si>
    <t>[80,515]</t>
    <phoneticPr fontId="1"/>
  </si>
  <si>
    <t>[18.3]</t>
    <phoneticPr fontId="1"/>
  </si>
  <si>
    <t>[96,293]</t>
    <phoneticPr fontId="1"/>
  </si>
  <si>
    <t>[19.6]</t>
    <phoneticPr fontId="1"/>
  </si>
  <si>
    <t>[91,401]</t>
    <phoneticPr fontId="1"/>
  </si>
  <si>
    <t>[-5.1]</t>
    <phoneticPr fontId="1"/>
  </si>
  <si>
    <t>[91,519]</t>
    <phoneticPr fontId="1"/>
  </si>
  <si>
    <t>[0.1]</t>
    <phoneticPr fontId="1"/>
  </si>
  <si>
    <t>c　Information communications</t>
    <phoneticPr fontId="1"/>
  </si>
  <si>
    <t>d　Transportation</t>
    <phoneticPr fontId="1"/>
  </si>
  <si>
    <t>[ c ＋ d ]</t>
    <phoneticPr fontId="1"/>
  </si>
  <si>
    <t>[55,717]</t>
    <phoneticPr fontId="1"/>
  </si>
  <si>
    <t>[42.4]</t>
    <phoneticPr fontId="1"/>
  </si>
  <si>
    <t>[62,136]</t>
    <phoneticPr fontId="1"/>
  </si>
  <si>
    <t>[11.5]</t>
    <phoneticPr fontId="1"/>
  </si>
  <si>
    <t>[68,104]</t>
    <phoneticPr fontId="1"/>
  </si>
  <si>
    <t>[9.6]</t>
    <phoneticPr fontId="1"/>
  </si>
  <si>
    <t>[68,271]</t>
    <phoneticPr fontId="1"/>
  </si>
  <si>
    <t>[0.2]</t>
    <phoneticPr fontId="1"/>
  </si>
  <si>
    <t>c　Information communications</t>
    <phoneticPr fontId="1"/>
  </si>
  <si>
    <t>[3.2]</t>
    <phoneticPr fontId="1"/>
  </si>
  <si>
    <t>[2.9]</t>
    <phoneticPr fontId="1"/>
  </si>
  <si>
    <t>[3.6]</t>
    <phoneticPr fontId="1"/>
  </si>
  <si>
    <t>[3.4]</t>
    <phoneticPr fontId="1"/>
  </si>
  <si>
    <t>[4.0]</t>
    <phoneticPr fontId="1"/>
  </si>
  <si>
    <t>[3.9]</t>
    <phoneticPr fontId="1"/>
  </si>
  <si>
    <t>[1.2]</t>
    <phoneticPr fontId="1"/>
  </si>
  <si>
    <t>[1.4]</t>
    <phoneticPr fontId="1"/>
  </si>
  <si>
    <t>[1.1]</t>
    <phoneticPr fontId="1"/>
  </si>
  <si>
    <t>[1.7]</t>
    <phoneticPr fontId="1"/>
  </si>
  <si>
    <t>[1.5]</t>
    <phoneticPr fontId="1"/>
  </si>
  <si>
    <t>[5.4]</t>
    <phoneticPr fontId="1"/>
  </si>
  <si>
    <t>[5.7]</t>
    <phoneticPr fontId="1"/>
  </si>
  <si>
    <t>[5.5]</t>
    <phoneticPr fontId="1"/>
  </si>
  <si>
    <t>[5.0]</t>
    <phoneticPr fontId="1"/>
  </si>
  <si>
    <t>[30,207]</t>
    <phoneticPr fontId="1"/>
  </si>
  <si>
    <t>[70.8]</t>
    <phoneticPr fontId="1"/>
  </si>
  <si>
    <t>[27,303]</t>
    <phoneticPr fontId="1"/>
  </si>
  <si>
    <t>[-9.6]</t>
    <phoneticPr fontId="1"/>
  </si>
  <si>
    <t>[33,652]</t>
    <phoneticPr fontId="1"/>
  </si>
  <si>
    <t>[23.3]</t>
    <phoneticPr fontId="1"/>
  </si>
  <si>
    <t>[31,889]</t>
    <phoneticPr fontId="1"/>
  </si>
  <si>
    <t>[-5.2]</t>
    <phoneticPr fontId="1"/>
  </si>
  <si>
    <t>[41,809]</t>
    <phoneticPr fontId="1"/>
  </si>
  <si>
    <t>[-25.5]</t>
    <phoneticPr fontId="1"/>
  </si>
  <si>
    <t>[36,610]</t>
    <phoneticPr fontId="1"/>
  </si>
  <si>
    <t>[-12.4]</t>
    <phoneticPr fontId="1"/>
  </si>
  <si>
    <t>[33,881]</t>
    <phoneticPr fontId="1"/>
  </si>
  <si>
    <t>[-7.5]</t>
    <phoneticPr fontId="1"/>
  </si>
  <si>
    <t>[39,609]</t>
    <phoneticPr fontId="1"/>
  </si>
  <si>
    <t>[16.9]</t>
    <phoneticPr fontId="1"/>
  </si>
  <si>
    <t>[71,227]</t>
    <phoneticPr fontId="1"/>
  </si>
  <si>
    <t>[265.1]</t>
    <phoneticPr fontId="1"/>
  </si>
  <si>
    <t>[66,190]</t>
    <phoneticPr fontId="1"/>
  </si>
  <si>
    <t>[-7.1]</t>
    <phoneticPr fontId="1"/>
  </si>
  <si>
    <t>[87,048]</t>
    <phoneticPr fontId="1"/>
  </si>
  <si>
    <t>[31.5]</t>
    <phoneticPr fontId="1"/>
  </si>
  <si>
    <t>[67,408]</t>
    <phoneticPr fontId="1"/>
  </si>
  <si>
    <t>[-22.6]</t>
    <phoneticPr fontId="1"/>
  </si>
  <si>
    <t>[-522]</t>
    <phoneticPr fontId="1"/>
  </si>
  <si>
    <t>[2,539]</t>
    <phoneticPr fontId="1"/>
  </si>
  <si>
    <t>[4,508]</t>
    <phoneticPr fontId="1"/>
  </si>
  <si>
    <t>[-275]</t>
    <phoneticPr fontId="1"/>
  </si>
  <si>
    <t>[6,553]</t>
    <phoneticPr fontId="1"/>
  </si>
  <si>
    <t>[9,529]</t>
    <phoneticPr fontId="1"/>
  </si>
  <si>
    <t>[17,070]</t>
    <phoneticPr fontId="1"/>
  </si>
  <si>
    <t>[9,066]</t>
    <phoneticPr fontId="1"/>
  </si>
  <si>
    <t>2004</t>
  </si>
  <si>
    <t>2004</t>
    <phoneticPr fontId="1"/>
  </si>
  <si>
    <t>2005</t>
  </si>
  <si>
    <t>2005</t>
    <phoneticPr fontId="1"/>
  </si>
  <si>
    <t>2006</t>
  </si>
  <si>
    <t>2006</t>
    <phoneticPr fontId="1"/>
  </si>
  <si>
    <t>2007</t>
  </si>
  <si>
    <t>2007</t>
    <phoneticPr fontId="1"/>
  </si>
  <si>
    <t>2008</t>
  </si>
  <si>
    <t>2008</t>
    <phoneticPr fontId="1"/>
  </si>
  <si>
    <t>2008</t>
    <phoneticPr fontId="1"/>
  </si>
  <si>
    <t>2004</t>
    <phoneticPr fontId="1"/>
  </si>
  <si>
    <t>2005</t>
    <phoneticPr fontId="1"/>
  </si>
  <si>
    <t>2006</t>
    <phoneticPr fontId="1"/>
  </si>
  <si>
    <t>2007</t>
    <phoneticPr fontId="1"/>
  </si>
  <si>
    <t>2008</t>
    <phoneticPr fontId="1"/>
  </si>
  <si>
    <r>
      <t xml:space="preserve">Notes </t>
    </r>
    <r>
      <rPr>
        <sz val="9"/>
        <rFont val="ＭＳ ゴシック"/>
        <family val="3"/>
        <charset val="128"/>
      </rPr>
      <t>: ２.《　　》：Figures except pure holding company that has financial institutions in subsidiary company.</t>
    </r>
    <phoneticPr fontId="1"/>
  </si>
  <si>
    <t>[-6,234]</t>
    <phoneticPr fontId="1"/>
  </si>
  <si>
    <t>[-12,714]</t>
    <phoneticPr fontId="1"/>
  </si>
  <si>
    <t>Notes : １.All Industries and Non-Manufacturing except Finance and Insurance, Japan Post Holdings, Japan Post Service, Japan Post Network, Japan Post Bank, and Japan Post Insurance.</t>
    <phoneticPr fontId="1"/>
  </si>
  <si>
    <t>《15,066,353》</t>
  </si>
  <si>
    <t>《10,615,827》</t>
  </si>
  <si>
    <t>《-4.2》</t>
    <phoneticPr fontId="1"/>
  </si>
  <si>
    <t>《342,595》</t>
  </si>
  <si>
    <t>《-36.0》</t>
    <phoneticPr fontId="1"/>
  </si>
  <si>
    <t>《240,751》</t>
  </si>
  <si>
    <t>《-18.7》</t>
    <phoneticPr fontId="1"/>
  </si>
  <si>
    <t>《280,772》</t>
  </si>
  <si>
    <t>《-43.2》</t>
    <phoneticPr fontId="1"/>
  </si>
  <si>
    <t>　Non-Manufacturing</t>
    <phoneticPr fontId="1"/>
  </si>
  <si>
    <t>《213,617》</t>
  </si>
  <si>
    <t>《-23.9》</t>
    <phoneticPr fontId="1"/>
  </si>
  <si>
    <t>《1.9》</t>
  </si>
  <si>
    <t>《2.0》</t>
  </si>
  <si>
    <t>《2.3》</t>
  </si>
  <si>
    <t>《3.4》</t>
  </si>
  <si>
    <t>《64,026》</t>
  </si>
  <si>
    <t>《100.0》</t>
  </si>
  <si>
    <t>《-》</t>
  </si>
  <si>
    <t>《-52,798》</t>
    <phoneticPr fontId="1"/>
  </si>
  <si>
    <t>《-82.5》</t>
    <phoneticPr fontId="1"/>
  </si>
  <si>
    <t xml:space="preserve">        3.Before 2006 : Internal reserves = Net profits for the period - Bonus for directors - Dividends</t>
    <phoneticPr fontId="1"/>
  </si>
  <si>
    <t xml:space="preserve">          After 2007  : Internal reserves = Net profits for the period - Dividends</t>
    <phoneticPr fontId="1"/>
  </si>
  <si>
    <t xml:space="preserve">        5.《　　》：Figures except pure holding company that has financial institutions in subsidiary company.</t>
    <phoneticPr fontId="1"/>
  </si>
  <si>
    <r>
      <t xml:space="preserve">Notes </t>
    </r>
    <r>
      <rPr>
        <sz val="9"/>
        <rFont val="ＭＳ ゴシック"/>
        <family val="3"/>
        <charset val="128"/>
      </rPr>
      <t>: ２.《　　》：Figures except pure holding company that has financial institutions in subsidiary company.</t>
    </r>
    <phoneticPr fontId="1"/>
  </si>
  <si>
    <t xml:space="preserve">        4.Figures except Finance and Insurance, Japan Post Holdings, Japan Post Service, Japan Post Network, Japan Post Bank, and Japan Post Insurance.</t>
    <phoneticPr fontId="1"/>
  </si>
  <si>
    <t>《2,629,912》</t>
  </si>
  <si>
    <t>《1,974,618》</t>
  </si>
  <si>
    <t>《75.1》</t>
  </si>
  <si>
    <t>《102,712》</t>
  </si>
  <si>
    <t>《3.9》</t>
  </si>
  <si>
    <t>《272,757》</t>
  </si>
  <si>
    <t>《10.4》</t>
  </si>
  <si>
    <t>《101,764》</t>
  </si>
  <si>
    <t>《3.8》</t>
  </si>
  <si>
    <t>《178,060》</t>
  </si>
  <si>
    <t>《6.8》</t>
  </si>
  <si>
    <t>《17.5》</t>
    <phoneticPr fontId="1"/>
  </si>
  <si>
    <t>《635》</t>
    <phoneticPr fontId="1"/>
  </si>
  <si>
    <t xml:space="preserve">        5.Figures except Finance and Insurance, Japan Post Holdings, Japan Post Service, Japan Post Network, Japan Post Bank, and Japan Post Insurance.</t>
    <phoneticPr fontId="1"/>
  </si>
  <si>
    <t xml:space="preserve">        6.《　　》：Figures except pure holding company that has financial institutions in subsidiary company.</t>
    <phoneticPr fontId="1"/>
  </si>
  <si>
    <t>《-46,170》</t>
    <phoneticPr fontId="1"/>
  </si>
  <si>
    <t>《-32,584》</t>
    <phoneticPr fontId="1"/>
  </si>
  <si>
    <t>《7.7》</t>
    <phoneticPr fontId="1"/>
  </si>
  <si>
    <t xml:space="preserve">        2.Ratio of inventories to sales =</t>
    <phoneticPr fontId="1"/>
  </si>
  <si>
    <t xml:space="preserve">        4.《　　》：Figures except pure holding company that has financial institutions in subsidiary company.</t>
    <phoneticPr fontId="1"/>
  </si>
  <si>
    <t xml:space="preserve">        3.All Industries and Non-Manufacturing except Finance and Insurance, Japan Post Holdings, Japan Post Service, Japan Post Network, Japan Post Bank, and Japan Post Insurance.</t>
    <phoneticPr fontId="1"/>
  </si>
  <si>
    <t>8.Financial items(balance base)</t>
    <phoneticPr fontId="1"/>
  </si>
  <si>
    <t>Notes :1. Liquidity ratio =</t>
    <phoneticPr fontId="1"/>
  </si>
  <si>
    <r>
      <t>Notes :</t>
    </r>
    <r>
      <rPr>
        <sz val="9"/>
        <rFont val="ＭＳ ゴシック"/>
        <family val="3"/>
        <charset val="128"/>
      </rPr>
      <t>3. 《　　》：Figures except pure holding company that has financial institutions in subsidiary company.</t>
    </r>
    <phoneticPr fontId="1"/>
  </si>
  <si>
    <t>Liquidity ratio</t>
    <phoneticPr fontId="1"/>
  </si>
  <si>
    <t>《2,082,504》</t>
  </si>
  <si>
    <t>《-15.2》</t>
    <phoneticPr fontId="1"/>
  </si>
  <si>
    <t>《1,580,198》</t>
  </si>
  <si>
    <t>《-20.2》</t>
    <phoneticPr fontId="1"/>
  </si>
  <si>
    <t>《1,698,156》</t>
  </si>
  <si>
    <t>《4.6》</t>
  </si>
  <si>
    <t>《2,923,253》</t>
  </si>
  <si>
    <t>《18.5》</t>
  </si>
  <si>
    <t>Short-term securities</t>
    <phoneticPr fontId="1"/>
  </si>
  <si>
    <t>《1,426,911》</t>
  </si>
  <si>
    <t>《5.4》</t>
  </si>
  <si>
    <t>《234,597》</t>
  </si>
  <si>
    <t>《22.4》</t>
  </si>
  <si>
    <t>《11.0》</t>
    <phoneticPr fontId="1"/>
  </si>
  <si>
    <t>9.Raising of funds(flow base)</t>
    <phoneticPr fontId="1"/>
  </si>
  <si>
    <t>《352,114》</t>
  </si>
  <si>
    <t>《246,271》</t>
  </si>
  <si>
    <t>《69.9》</t>
  </si>
  <si>
    <t>《32.9》</t>
    <phoneticPr fontId="1"/>
  </si>
  <si>
    <t xml:space="preserve">  Non-Manufacturing</t>
  </si>
  <si>
    <t>《28.8》</t>
    <phoneticPr fontId="1"/>
  </si>
  <si>
    <t>《1,591,646》</t>
  </si>
  <si>
    <t>《-3.4》</t>
    <phoneticPr fontId="1"/>
  </si>
  <si>
    <t>《54,578》</t>
  </si>
  <si>
    <t>《-9.3》</t>
    <phoneticPr fontId="1"/>
  </si>
  <si>
    <t>《2.7》</t>
  </si>
  <si>
    <t>《-4.7》</t>
    <phoneticPr fontId="1"/>
  </si>
  <si>
    <t>《116,824》</t>
  </si>
  <si>
    <t>《182.5》</t>
  </si>
  <si>
    <t>《274,968》</t>
  </si>
  <si>
    <t>《△38.3》</t>
  </si>
  <si>
    <t>《114,919》</t>
  </si>
  <si>
    <t>《-57.3》</t>
  </si>
  <si>
    <t xml:space="preserve">《-81,302》 </t>
  </si>
  <si>
    <t>《-177.3》</t>
  </si>
  <si>
    <t>《105,842》</t>
  </si>
  <si>
    <t>《30.1》</t>
  </si>
  <si>
    <t>Notes : １.All Industries and Non-Manufacturing except Finance and Insurance, Japan Post Holdings, Japan Post Service, Japan Post Network, Japan Post Bank, and Japan Post Insurance.</t>
    <phoneticPr fontId="1"/>
  </si>
  <si>
    <t xml:space="preserve">        2.All Industries and Non-Manufacturing except Finance and Insurance, Japan Post Holdings, Japan Post Service, Japan Post Network, Japan Post Bank, and Japan Post Insurance.</t>
    <phoneticPr fontId="1"/>
  </si>
  <si>
    <r>
      <t xml:space="preserve">Notes </t>
    </r>
    <r>
      <rPr>
        <sz val="9"/>
        <rFont val="ＭＳ ゴシック"/>
        <family val="3"/>
        <charset val="128"/>
      </rPr>
      <t>: ２.《　　》：Figures except pure holding company that has financial institutions in subsidiary company.</t>
    </r>
    <phoneticPr fontId="1"/>
  </si>
  <si>
    <t xml:space="preserve">        3.《　　》：Figures except pure holding company that has financial institutions in subsidiary company.</t>
    <phoneticPr fontId="1"/>
  </si>
  <si>
    <t>(100 million yen,％)</t>
  </si>
  <si>
    <t>-</t>
    <phoneticPr fontId="7"/>
  </si>
  <si>
    <t>(-)</t>
  </si>
  <si>
    <t>All Industries  
(including Finance and Insurance)</t>
    <phoneticPr fontId="1"/>
  </si>
  <si>
    <t>Finance and Insurance</t>
    <phoneticPr fontId="1"/>
  </si>
  <si>
    <t>Banking</t>
    <phoneticPr fontId="1"/>
  </si>
  <si>
    <t>Money lending business etc.</t>
    <phoneticPr fontId="1"/>
  </si>
  <si>
    <t>Financial products transaction dealers</t>
    <phoneticPr fontId="1"/>
  </si>
  <si>
    <t>Futures commodity transaction dealers etc.</t>
    <phoneticPr fontId="1"/>
  </si>
  <si>
    <t>Life insurance institutions</t>
    <phoneticPr fontId="1"/>
  </si>
  <si>
    <t>Non-life insurance institutions</t>
    <phoneticPr fontId="1"/>
  </si>
  <si>
    <t>Miscellaneous insurance institutions</t>
    <phoneticPr fontId="1"/>
  </si>
  <si>
    <t>All Industries
(including Finance and Insurance)</t>
    <phoneticPr fontId="1"/>
  </si>
  <si>
    <t>1 billion yen or over</t>
    <phoneticPr fontId="1"/>
  </si>
  <si>
    <t>　　　　　12.Cash dividends</t>
    <phoneticPr fontId="1"/>
  </si>
  <si>
    <t xml:space="preserve">  Net profits for the period</t>
    <phoneticPr fontId="1"/>
  </si>
  <si>
    <t xml:space="preserve">   Dividends</t>
    <phoneticPr fontId="1"/>
  </si>
  <si>
    <t xml:space="preserve">   Internal reserves</t>
    <phoneticPr fontId="1"/>
  </si>
  <si>
    <t>Notes : 1.Beginning in 2008.</t>
    <phoneticPr fontId="1"/>
  </si>
  <si>
    <t xml:space="preserve">        2.Net profits for the period = ordinary profits + special profits - special losses - corporation tax and inhabitants' tax and enterprise tax - tax expenses adject</t>
    <phoneticPr fontId="1"/>
  </si>
  <si>
    <t>14.Ratio of net worth</t>
    <phoneticPr fontId="1"/>
  </si>
  <si>
    <t>(%)</t>
    <phoneticPr fontId="1"/>
  </si>
  <si>
    <t>100 million to 1 billion yen</t>
    <phoneticPr fontId="1"/>
  </si>
  <si>
    <t>10 to 100 million yen</t>
    <phoneticPr fontId="1"/>
  </si>
  <si>
    <t>under 10 million yen</t>
    <phoneticPr fontId="1"/>
  </si>
  <si>
    <t>Net assets - Subscription rights to shares</t>
    <phoneticPr fontId="1"/>
  </si>
  <si>
    <t>× 100</t>
    <phoneticPr fontId="1"/>
  </si>
  <si>
    <t>Liabilities and capital</t>
    <phoneticPr fontId="1"/>
  </si>
  <si>
    <t>Liabilities and Net assets</t>
    <phoneticPr fontId="1"/>
  </si>
  <si>
    <t>11. Ordinary Profits</t>
    <phoneticPr fontId="1"/>
  </si>
  <si>
    <t>Notes:</t>
    <phoneticPr fontId="1"/>
  </si>
  <si>
    <t>Beginning in 2008.</t>
    <phoneticPr fontId="1"/>
  </si>
  <si>
    <t>13.Investment in plant and equipment</t>
    <phoneticPr fontId="1"/>
  </si>
  <si>
    <t>Beginning in 2008.</t>
    <phoneticPr fontId="7"/>
  </si>
  <si>
    <t>Investment in plant and equipment = increases of tangible fixed assets(excluding land)+depreciation expenses.</t>
    <phoneticPr fontId="1"/>
  </si>
  <si>
    <t>Figures include investment in software. Figures of the lower row exclude investment in software.</t>
    <phoneticPr fontId="1"/>
  </si>
  <si>
    <r>
      <t>Notes :</t>
    </r>
    <r>
      <rPr>
        <sz val="9"/>
        <rFont val="ＭＳ ゴシック"/>
        <family val="3"/>
        <charset val="128"/>
      </rPr>
      <t>2. Figures except Finance and Insurance, Japan Post Holdings, Japan Post Service, Japan Post Network, Japan Post Bank, and Japan Post Insurance.</t>
    </r>
    <phoneticPr fontId="1"/>
  </si>
  <si>
    <t>[-1.2]</t>
    <phoneticPr fontId="1"/>
  </si>
  <si>
    <t>[0.2]</t>
    <phoneticPr fontId="1"/>
  </si>
  <si>
    <t>[0.9]</t>
    <phoneticPr fontId="1"/>
  </si>
  <si>
    <t>[1.3]</t>
    <phoneticPr fontId="1"/>
  </si>
  <si>
    <t>[4.7]</t>
    <phoneticPr fontId="1"/>
  </si>
  <si>
    <t>[4.6]</t>
    <phoneticPr fontId="1"/>
  </si>
  <si>
    <t>[28,976]</t>
    <phoneticPr fontId="1"/>
  </si>
  <si>
    <t>[△9.1]</t>
    <phoneticPr fontId="1"/>
  </si>
  <si>
    <t>[51,958]</t>
    <phoneticPr fontId="1"/>
  </si>
  <si>
    <t>[31.2]</t>
    <phoneticPr fontId="1"/>
  </si>
  <si>
    <t>[73,719]</t>
    <phoneticPr fontId="1"/>
  </si>
  <si>
    <t>[9.4]</t>
    <phoneticPr fontId="1"/>
  </si>
  <si>
    <t>Figures except Japan Post Holdings, Japan Post Service,Japan Post Network, Japan Post Bank, and Japan Post Insurance.</t>
    <phoneticPr fontId="1"/>
  </si>
  <si>
    <t>Money lending business etc. are non-deposit money corporations,including lending and credit card business.</t>
    <phoneticPr fontId="7"/>
  </si>
  <si>
    <t xml:space="preserve">Financial products transaction dealers are those engaged in Type Ⅰ Financial products transaction </t>
    <phoneticPr fontId="7"/>
  </si>
  <si>
    <t>and limited to those engaged in Securities-Related Business.</t>
    <phoneticPr fontId="7"/>
  </si>
  <si>
    <t xml:space="preserve">Futures commodity transaction dealers etc. are futures commodity transaction dealers, investment advisory </t>
    <phoneticPr fontId="7"/>
  </si>
  <si>
    <t>and agent services, investment management services ,and auxiliaries for financial products transaction.</t>
    <phoneticPr fontId="7"/>
  </si>
  <si>
    <t>-</t>
    <phoneticPr fontId="7"/>
  </si>
  <si>
    <t xml:space="preserve">        3.Internal reserves = Net profits for the period - Dividends</t>
    <phoneticPr fontId="1"/>
  </si>
  <si>
    <t xml:space="preserve">        4.Figures except Japan Post Holdings, Japan Post Service,Japan Post Network, Japan Post Bank, and Japan Post Insurance.</t>
    <phoneticPr fontId="1"/>
  </si>
  <si>
    <t>1.</t>
    <phoneticPr fontId="7"/>
  </si>
  <si>
    <t>2.</t>
    <phoneticPr fontId="7"/>
  </si>
  <si>
    <t>3.</t>
    <phoneticPr fontId="7"/>
  </si>
  <si>
    <t>4.</t>
    <phoneticPr fontId="7"/>
  </si>
  <si>
    <t>5.</t>
    <phoneticPr fontId="7"/>
  </si>
  <si>
    <t>2.</t>
    <phoneticPr fontId="7"/>
  </si>
  <si>
    <t>3.</t>
    <phoneticPr fontId="7"/>
  </si>
  <si>
    <t>4.</t>
    <phoneticPr fontId="7"/>
  </si>
  <si>
    <t>5.</t>
    <phoneticPr fontId="7"/>
  </si>
  <si>
    <t>6.</t>
    <phoneticPr fontId="7"/>
  </si>
  <si>
    <t>7.</t>
    <phoneticPr fontId="7"/>
  </si>
  <si>
    <t>Figures except Japan Post Holdings, Japan Post Service,Japan Post Network, Japan Post Bank, and Japan Post Insurance.</t>
    <phoneticPr fontId="7"/>
  </si>
  <si>
    <t>Notes : 1.Beginning in 2008.</t>
    <phoneticPr fontId="7"/>
  </si>
  <si>
    <r>
      <t>Notes :</t>
    </r>
    <r>
      <rPr>
        <sz val="8"/>
        <rFont val="ＭＳ ゴシック"/>
        <family val="3"/>
        <charset val="128"/>
      </rPr>
      <t xml:space="preserve"> 2.Ratio of net worth   ＝</t>
    </r>
    <phoneticPr fontId="1"/>
  </si>
  <si>
    <t xml:space="preserve">        3.Figures except Japan Post Holdings, Japan Post Service,Japan Post Network, Japan Post Bank, and Japan Post Insurance.</t>
    <phoneticPr fontId="1"/>
  </si>
  <si>
    <t>[751,997]</t>
    <phoneticPr fontId="1"/>
  </si>
  <si>
    <t>[-11.7]</t>
    <phoneticPr fontId="1"/>
  </si>
  <si>
    <t>[5,786,703]</t>
    <phoneticPr fontId="1"/>
  </si>
  <si>
    <t>[-5.5]</t>
    <phoneticPr fontId="1"/>
  </si>
  <si>
    <t>[1,196,768]</t>
    <phoneticPr fontId="1"/>
  </si>
  <si>
    <t>[-2.9]</t>
    <phoneticPr fontId="1"/>
  </si>
  <si>
    <t>[1,139]</t>
    <phoneticPr fontId="1"/>
  </si>
  <si>
    <t>[-96.6]</t>
    <phoneticPr fontId="1"/>
  </si>
  <si>
    <t>[73,299]</t>
    <phoneticPr fontId="1"/>
  </si>
  <si>
    <t>[-19.9]</t>
    <phoneticPr fontId="1"/>
  </si>
  <si>
    <t>[55,097]</t>
    <phoneticPr fontId="1"/>
  </si>
  <si>
    <t>[-19.3]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</si>
</sst>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76" formatCode="#,##0_ "/>
    <numFmt numFmtId="177" formatCode="#,##0.0_ "/>
    <numFmt numFmtId="178" formatCode="0.0_ "/>
    <numFmt numFmtId="179" formatCode="#,##0.0;&quot;△ &quot;#,##0.0"/>
    <numFmt numFmtId="180" formatCode="#,##0;&quot;△ &quot;#,##0"/>
    <numFmt numFmtId="181" formatCode="[&lt;=999]000;[&lt;=99999]000\-00;000\-0000"/>
    <numFmt numFmtId="182" formatCode="0_);[Red]\(0\)"/>
    <numFmt numFmtId="186" formatCode="#,##0;&quot;△&quot;???,??0"/>
    <numFmt numFmtId="187" formatCode="0.0;&quot;△&quot;??0.0"/>
    <numFmt numFmtId="188" formatCode="&quot;(&quot;#,##0&quot;)&quot;;&quot;(-&quot;#,##0&quot;)&quot;;"/>
    <numFmt numFmtId="189" formatCode="&quot;(&quot;#,##0.0&quot;)&quot;;&quot;(-&quot;#,##0.0&quot;)&quot;;"/>
    <numFmt numFmtId="215" formatCode="#,##0.0;\-#,##0.0\ "/>
    <numFmt numFmtId="216" formatCode="&quot;\&quot;#,##0.0;\-#,##0.0\ "/>
  </numFmts>
  <fonts count="22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9"/>
      <name val="ＭＳ ゴシック"/>
      <family val="3"/>
      <charset val="128"/>
    </font>
    <font>
      <sz val="10"/>
      <name val="ＭＳ ゴシック"/>
      <family val="3"/>
      <charset val="128"/>
    </font>
    <font>
      <sz val="6.5"/>
      <name val="ＭＳ ゴシック"/>
      <family val="3"/>
      <charset val="128"/>
    </font>
    <font>
      <sz val="8"/>
      <name val="ＭＳ Ｐゴシック"/>
      <family val="3"/>
      <charset val="128"/>
    </font>
    <font>
      <sz val="6.5"/>
      <name val="ＭＳ Ｐゴシック"/>
      <family val="3"/>
      <charset val="128"/>
    </font>
    <font>
      <sz val="8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7"/>
      <name val="ＭＳ ゴシック"/>
      <family val="3"/>
      <charset val="128"/>
    </font>
    <font>
      <sz val="11"/>
      <name val="ＭＳ Ｐゴシック"/>
      <family val="3"/>
      <charset val="128"/>
    </font>
    <font>
      <i/>
      <sz val="11"/>
      <name val="ＭＳ ゴシック"/>
      <family val="3"/>
      <charset val="128"/>
    </font>
    <font>
      <sz val="7"/>
      <name val="ＭＳ Ｐゴシック"/>
      <family val="3"/>
      <charset val="128"/>
    </font>
    <font>
      <b/>
      <sz val="15"/>
      <name val="ＭＳ Ｐゴシック"/>
      <family val="3"/>
      <charset val="128"/>
    </font>
    <font>
      <sz val="8"/>
      <color indexed="9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</cellStyleXfs>
  <cellXfs count="404">
    <xf numFmtId="0" fontId="0" fillId="0" borderId="0" xfId="0"/>
    <xf numFmtId="0" fontId="2" fillId="0" borderId="0" xfId="7" applyFont="1" applyFill="1"/>
    <xf numFmtId="0" fontId="4" fillId="0" borderId="0" xfId="7" applyFont="1" applyFill="1"/>
    <xf numFmtId="0" fontId="4" fillId="0" borderId="0" xfId="7" applyFont="1" applyFill="1" applyAlignment="1">
      <alignment horizontal="right"/>
    </xf>
    <xf numFmtId="49" fontId="5" fillId="0" borderId="1" xfId="7" applyNumberFormat="1" applyFont="1" applyFill="1" applyBorder="1" applyAlignment="1">
      <alignment horizontal="center"/>
    </xf>
    <xf numFmtId="0" fontId="4" fillId="0" borderId="2" xfId="7" applyFont="1" applyBorder="1" applyAlignment="1">
      <alignment horizontal="center" wrapText="1"/>
    </xf>
    <xf numFmtId="176" fontId="5" fillId="0" borderId="3" xfId="7" applyNumberFormat="1" applyFont="1" applyFill="1" applyBorder="1" applyAlignment="1">
      <alignment shrinkToFit="1"/>
    </xf>
    <xf numFmtId="177" fontId="5" fillId="0" borderId="3" xfId="7" applyNumberFormat="1" applyFont="1" applyBorder="1" applyAlignment="1">
      <alignment shrinkToFit="1"/>
    </xf>
    <xf numFmtId="0" fontId="5" fillId="0" borderId="4" xfId="7" applyFont="1" applyFill="1" applyBorder="1" applyAlignment="1">
      <alignment horizontal="left"/>
    </xf>
    <xf numFmtId="176" fontId="5" fillId="0" borderId="4" xfId="7" applyNumberFormat="1" applyFont="1" applyBorder="1" applyAlignment="1">
      <alignment shrinkToFit="1"/>
    </xf>
    <xf numFmtId="177" fontId="5" fillId="0" borderId="4" xfId="7" applyNumberFormat="1" applyFont="1" applyBorder="1" applyAlignment="1">
      <alignment shrinkToFit="1"/>
    </xf>
    <xf numFmtId="176" fontId="5" fillId="0" borderId="1" xfId="7" applyNumberFormat="1" applyFont="1" applyBorder="1" applyAlignment="1">
      <alignment shrinkToFit="1"/>
    </xf>
    <xf numFmtId="177" fontId="5" fillId="0" borderId="1" xfId="7" applyNumberFormat="1" applyFont="1" applyBorder="1" applyAlignment="1">
      <alignment shrinkToFit="1"/>
    </xf>
    <xf numFmtId="0" fontId="5" fillId="0" borderId="0" xfId="7" applyFont="1" applyFill="1" applyBorder="1"/>
    <xf numFmtId="49" fontId="5" fillId="0" borderId="0" xfId="7" applyNumberFormat="1" applyFont="1" applyFill="1" applyBorder="1" applyAlignment="1">
      <alignment horizontal="center"/>
    </xf>
    <xf numFmtId="0" fontId="4" fillId="0" borderId="0" xfId="7" applyFont="1" applyFill="1" applyBorder="1"/>
    <xf numFmtId="0" fontId="5" fillId="0" borderId="0" xfId="7" applyFont="1" applyFill="1" applyBorder="1" applyAlignment="1">
      <alignment horizontal="left"/>
    </xf>
    <xf numFmtId="0" fontId="5" fillId="0" borderId="5" xfId="7" applyFont="1" applyFill="1" applyBorder="1"/>
    <xf numFmtId="49" fontId="5" fillId="0" borderId="5" xfId="7" applyNumberFormat="1" applyFont="1" applyFill="1" applyBorder="1" applyAlignment="1">
      <alignment horizontal="center"/>
    </xf>
    <xf numFmtId="177" fontId="5" fillId="0" borderId="3" xfId="7" applyNumberFormat="1" applyFont="1" applyBorder="1" applyAlignment="1">
      <alignment horizontal="right" shrinkToFit="1"/>
    </xf>
    <xf numFmtId="177" fontId="5" fillId="0" borderId="4" xfId="7" applyNumberFormat="1" applyFont="1" applyBorder="1" applyAlignment="1">
      <alignment horizontal="right" shrinkToFit="1"/>
    </xf>
    <xf numFmtId="177" fontId="5" fillId="0" borderId="1" xfId="7" applyNumberFormat="1" applyFont="1" applyBorder="1" applyAlignment="1">
      <alignment horizontal="right" shrinkToFit="1"/>
    </xf>
    <xf numFmtId="49" fontId="5" fillId="0" borderId="0" xfId="7" applyNumberFormat="1" applyFont="1" applyFill="1" applyBorder="1" applyAlignment="1">
      <alignment horizontal="left"/>
    </xf>
    <xf numFmtId="0" fontId="6" fillId="0" borderId="0" xfId="7" applyFont="1" applyFill="1"/>
    <xf numFmtId="49" fontId="5" fillId="0" borderId="2" xfId="7" applyNumberFormat="1" applyFont="1" applyFill="1" applyBorder="1" applyAlignment="1">
      <alignment horizontal="center"/>
    </xf>
    <xf numFmtId="177" fontId="5" fillId="0" borderId="3" xfId="7" applyNumberFormat="1" applyFont="1" applyFill="1" applyBorder="1" applyAlignment="1">
      <alignment horizontal="center" shrinkToFit="1"/>
    </xf>
    <xf numFmtId="177" fontId="5" fillId="0" borderId="4" xfId="7" applyNumberFormat="1" applyFont="1" applyFill="1" applyBorder="1" applyAlignment="1">
      <alignment horizontal="center" shrinkToFit="1"/>
    </xf>
    <xf numFmtId="176" fontId="5" fillId="0" borderId="4" xfId="7" applyNumberFormat="1" applyFont="1" applyFill="1" applyBorder="1" applyAlignment="1">
      <alignment horizontal="right" shrinkToFit="1"/>
    </xf>
    <xf numFmtId="178" fontId="5" fillId="0" borderId="4" xfId="7" applyNumberFormat="1" applyFont="1" applyBorder="1" applyAlignment="1">
      <alignment horizontal="right" shrinkToFit="1"/>
    </xf>
    <xf numFmtId="176" fontId="5" fillId="0" borderId="4" xfId="7" applyNumberFormat="1" applyFont="1" applyBorder="1" applyAlignment="1">
      <alignment horizontal="right" shrinkToFit="1"/>
    </xf>
    <xf numFmtId="177" fontId="5" fillId="0" borderId="4" xfId="8" applyNumberFormat="1" applyFont="1" applyBorder="1" applyAlignment="1">
      <alignment horizontal="right" shrinkToFit="1"/>
    </xf>
    <xf numFmtId="176" fontId="5" fillId="0" borderId="1" xfId="7" applyNumberFormat="1" applyFont="1" applyBorder="1" applyAlignment="1">
      <alignment horizontal="right" shrinkToFit="1"/>
    </xf>
    <xf numFmtId="178" fontId="5" fillId="0" borderId="1" xfId="7" applyNumberFormat="1" applyFont="1" applyBorder="1" applyAlignment="1">
      <alignment horizontal="right" shrinkToFit="1"/>
    </xf>
    <xf numFmtId="176" fontId="5" fillId="0" borderId="3" xfId="7" applyNumberFormat="1" applyFont="1" applyFill="1" applyBorder="1" applyAlignment="1">
      <alignment horizontal="right" shrinkToFit="1"/>
    </xf>
    <xf numFmtId="0" fontId="5" fillId="0" borderId="4" xfId="7" applyFont="1" applyFill="1" applyBorder="1" applyAlignment="1">
      <alignment horizontal="left" vertical="top" wrapText="1"/>
    </xf>
    <xf numFmtId="0" fontId="7" fillId="0" borderId="3" xfId="7" applyFont="1" applyFill="1" applyBorder="1" applyAlignment="1">
      <alignment horizontal="left"/>
    </xf>
    <xf numFmtId="179" fontId="4" fillId="0" borderId="6" xfId="7" applyNumberFormat="1" applyFont="1" applyBorder="1" applyAlignment="1">
      <alignment horizontal="right" shrinkToFit="1"/>
    </xf>
    <xf numFmtId="179" fontId="5" fillId="0" borderId="7" xfId="7" applyNumberFormat="1" applyFont="1" applyBorder="1" applyAlignment="1">
      <alignment horizontal="right" shrinkToFit="1"/>
    </xf>
    <xf numFmtId="177" fontId="5" fillId="0" borderId="8" xfId="7" applyNumberFormat="1" applyFont="1" applyBorder="1" applyAlignment="1">
      <alignment horizontal="right" shrinkToFit="1"/>
    </xf>
    <xf numFmtId="177" fontId="5" fillId="0" borderId="9" xfId="7" applyNumberFormat="1" applyFont="1" applyBorder="1" applyAlignment="1">
      <alignment horizontal="right" shrinkToFit="1"/>
    </xf>
    <xf numFmtId="180" fontId="5" fillId="0" borderId="8" xfId="7" applyNumberFormat="1" applyFont="1" applyBorder="1" applyAlignment="1">
      <alignment horizontal="right" shrinkToFit="1"/>
    </xf>
    <xf numFmtId="180" fontId="5" fillId="0" borderId="9" xfId="7" applyNumberFormat="1" applyFont="1" applyBorder="1" applyAlignment="1">
      <alignment horizontal="right" shrinkToFit="1"/>
    </xf>
    <xf numFmtId="0" fontId="5" fillId="0" borderId="1" xfId="7" applyFont="1" applyFill="1" applyBorder="1" applyAlignment="1">
      <alignment horizontal="left" vertical="top" wrapText="1"/>
    </xf>
    <xf numFmtId="176" fontId="5" fillId="0" borderId="10" xfId="7" applyNumberFormat="1" applyFont="1" applyBorder="1" applyAlignment="1">
      <alignment horizontal="right" shrinkToFit="1"/>
    </xf>
    <xf numFmtId="176" fontId="5" fillId="0" borderId="11" xfId="7" applyNumberFormat="1" applyFont="1" applyBorder="1" applyAlignment="1">
      <alignment horizontal="right" shrinkToFit="1"/>
    </xf>
    <xf numFmtId="0" fontId="5" fillId="0" borderId="0" xfId="7" applyFont="1" applyFill="1" applyBorder="1" applyAlignment="1">
      <alignment vertical="center"/>
    </xf>
    <xf numFmtId="0" fontId="4" fillId="0" borderId="0" xfId="7" applyFont="1" applyFill="1" applyBorder="1" applyAlignment="1">
      <alignment vertical="center"/>
    </xf>
    <xf numFmtId="49" fontId="5" fillId="0" borderId="12" xfId="7" applyNumberFormat="1" applyFont="1" applyFill="1" applyBorder="1" applyAlignment="1">
      <alignment horizontal="center"/>
    </xf>
    <xf numFmtId="49" fontId="5" fillId="0" borderId="3" xfId="7" applyNumberFormat="1" applyFont="1" applyFill="1" applyBorder="1" applyAlignment="1">
      <alignment horizontal="center" vertical="center"/>
    </xf>
    <xf numFmtId="176" fontId="5" fillId="0" borderId="4" xfId="7" applyNumberFormat="1" applyFont="1" applyFill="1" applyBorder="1" applyAlignment="1">
      <alignment shrinkToFit="1"/>
    </xf>
    <xf numFmtId="0" fontId="5" fillId="0" borderId="3" xfId="7" applyFont="1" applyFill="1" applyBorder="1" applyAlignment="1">
      <alignment horizontal="left" vertical="top" wrapText="1"/>
    </xf>
    <xf numFmtId="0" fontId="5" fillId="0" borderId="0" xfId="7" applyFont="1" applyFill="1"/>
    <xf numFmtId="177" fontId="5" fillId="0" borderId="3" xfId="7" applyNumberFormat="1" applyFont="1" applyBorder="1" applyAlignment="1">
      <alignment horizontal="center" shrinkToFit="1"/>
    </xf>
    <xf numFmtId="177" fontId="5" fillId="0" borderId="4" xfId="8" applyNumberFormat="1" applyFont="1" applyBorder="1" applyAlignment="1">
      <alignment shrinkToFit="1"/>
    </xf>
    <xf numFmtId="180" fontId="5" fillId="0" borderId="6" xfId="7" applyNumberFormat="1" applyFont="1" applyBorder="1" applyAlignment="1">
      <alignment shrinkToFit="1"/>
    </xf>
    <xf numFmtId="179" fontId="4" fillId="0" borderId="7" xfId="7" applyNumberFormat="1" applyFont="1" applyBorder="1" applyAlignment="1">
      <alignment shrinkToFit="1"/>
    </xf>
    <xf numFmtId="178" fontId="5" fillId="0" borderId="3" xfId="8" applyNumberFormat="1" applyFont="1" applyBorder="1" applyAlignment="1">
      <alignment horizontal="right" shrinkToFit="1"/>
    </xf>
    <xf numFmtId="178" fontId="5" fillId="0" borderId="4" xfId="8" applyNumberFormat="1" applyFont="1" applyBorder="1" applyAlignment="1">
      <alignment horizontal="right" shrinkToFit="1"/>
    </xf>
    <xf numFmtId="178" fontId="5" fillId="0" borderId="1" xfId="8" applyNumberFormat="1" applyFont="1" applyBorder="1" applyAlignment="1">
      <alignment horizontal="right" shrinkToFit="1"/>
    </xf>
    <xf numFmtId="49" fontId="5" fillId="0" borderId="4" xfId="7" applyNumberFormat="1" applyFont="1" applyFill="1" applyBorder="1" applyAlignment="1">
      <alignment horizontal="center" vertical="center"/>
    </xf>
    <xf numFmtId="179" fontId="5" fillId="0" borderId="3" xfId="7" applyNumberFormat="1" applyFont="1" applyFill="1" applyBorder="1" applyAlignment="1">
      <alignment horizontal="center" shrinkToFit="1"/>
    </xf>
    <xf numFmtId="177" fontId="5" fillId="0" borderId="4" xfId="7" applyNumberFormat="1" applyFont="1" applyBorder="1" applyAlignment="1">
      <alignment horizontal="center" shrinkToFit="1"/>
    </xf>
    <xf numFmtId="179" fontId="5" fillId="0" borderId="4" xfId="7" applyNumberFormat="1" applyFont="1" applyBorder="1" applyAlignment="1">
      <alignment horizontal="center" shrinkToFit="1"/>
    </xf>
    <xf numFmtId="177" fontId="5" fillId="0" borderId="1" xfId="7" applyNumberFormat="1" applyFont="1" applyBorder="1" applyAlignment="1">
      <alignment horizontal="center" shrinkToFit="1"/>
    </xf>
    <xf numFmtId="0" fontId="5" fillId="0" borderId="4" xfId="7" applyFont="1" applyFill="1" applyBorder="1" applyAlignment="1"/>
    <xf numFmtId="0" fontId="8" fillId="0" borderId="0" xfId="7" applyFont="1" applyFill="1" applyBorder="1"/>
    <xf numFmtId="176" fontId="5" fillId="0" borderId="8" xfId="7" applyNumberFormat="1" applyFont="1" applyBorder="1" applyAlignment="1">
      <alignment horizontal="right" shrinkToFit="1"/>
    </xf>
    <xf numFmtId="0" fontId="5" fillId="0" borderId="1" xfId="7" applyFont="1" applyFill="1" applyBorder="1" applyAlignment="1"/>
    <xf numFmtId="177" fontId="5" fillId="0" borderId="4" xfId="7" applyNumberFormat="1" applyFont="1" applyFill="1" applyBorder="1" applyAlignment="1">
      <alignment horizontal="right" shrinkToFit="1"/>
    </xf>
    <xf numFmtId="177" fontId="5" fillId="0" borderId="1" xfId="8" applyNumberFormat="1" applyFont="1" applyBorder="1" applyAlignment="1">
      <alignment horizontal="right" shrinkToFit="1"/>
    </xf>
    <xf numFmtId="0" fontId="5" fillId="0" borderId="1" xfId="7" applyFont="1" applyFill="1" applyBorder="1" applyAlignment="1">
      <alignment horizontal="left"/>
    </xf>
    <xf numFmtId="176" fontId="5" fillId="0" borderId="9" xfId="7" applyNumberFormat="1" applyFont="1" applyBorder="1" applyAlignment="1">
      <alignment horizontal="right" shrinkToFit="1"/>
    </xf>
    <xf numFmtId="0" fontId="5" fillId="0" borderId="3" xfId="7" applyFont="1" applyFill="1" applyBorder="1" applyAlignment="1"/>
    <xf numFmtId="0" fontId="4" fillId="0" borderId="2" xfId="7" applyFont="1" applyFill="1" applyBorder="1" applyAlignment="1">
      <alignment horizontal="center" wrapText="1"/>
    </xf>
    <xf numFmtId="177" fontId="5" fillId="0" borderId="3" xfId="7" applyNumberFormat="1" applyFont="1" applyFill="1" applyBorder="1" applyAlignment="1">
      <alignment shrinkToFit="1"/>
    </xf>
    <xf numFmtId="177" fontId="5" fillId="0" borderId="4" xfId="7" applyNumberFormat="1" applyFont="1" applyFill="1" applyBorder="1" applyAlignment="1">
      <alignment shrinkToFit="1"/>
    </xf>
    <xf numFmtId="0" fontId="4" fillId="0" borderId="0" xfId="6" applyFont="1" applyFill="1"/>
    <xf numFmtId="176" fontId="5" fillId="0" borderId="1" xfId="7" applyNumberFormat="1" applyFont="1" applyFill="1" applyBorder="1" applyAlignment="1">
      <alignment shrinkToFit="1"/>
    </xf>
    <xf numFmtId="177" fontId="5" fillId="0" borderId="1" xfId="7" applyNumberFormat="1" applyFont="1" applyFill="1" applyBorder="1" applyAlignment="1">
      <alignment shrinkToFit="1"/>
    </xf>
    <xf numFmtId="177" fontId="5" fillId="0" borderId="3" xfId="7" applyNumberFormat="1" applyFont="1" applyFill="1" applyBorder="1" applyAlignment="1">
      <alignment horizontal="right" shrinkToFit="1"/>
    </xf>
    <xf numFmtId="176" fontId="5" fillId="0" borderId="4" xfId="7" applyNumberFormat="1" applyFont="1" applyFill="1" applyBorder="1" applyAlignment="1">
      <alignment vertical="center" shrinkToFit="1"/>
    </xf>
    <xf numFmtId="177" fontId="5" fillId="0" borderId="4" xfId="7" applyNumberFormat="1" applyFont="1" applyFill="1" applyBorder="1" applyAlignment="1">
      <alignment vertical="center" shrinkToFit="1"/>
    </xf>
    <xf numFmtId="177" fontId="5" fillId="0" borderId="1" xfId="7" applyNumberFormat="1" applyFont="1" applyFill="1" applyBorder="1" applyAlignment="1">
      <alignment horizontal="right" shrinkToFit="1"/>
    </xf>
    <xf numFmtId="176" fontId="5" fillId="0" borderId="8" xfId="7" applyNumberFormat="1" applyFont="1" applyFill="1" applyBorder="1" applyAlignment="1">
      <alignment horizontal="right" shrinkToFit="1"/>
    </xf>
    <xf numFmtId="177" fontId="5" fillId="0" borderId="8" xfId="7" applyNumberFormat="1" applyFont="1" applyFill="1" applyBorder="1" applyAlignment="1">
      <alignment shrinkToFit="1"/>
    </xf>
    <xf numFmtId="176" fontId="5" fillId="0" borderId="0" xfId="7" applyNumberFormat="1" applyFont="1" applyFill="1" applyBorder="1" applyAlignment="1">
      <alignment shrinkToFit="1"/>
    </xf>
    <xf numFmtId="177" fontId="5" fillId="0" borderId="0" xfId="7" applyNumberFormat="1" applyFont="1" applyFill="1" applyBorder="1" applyAlignment="1">
      <alignment shrinkToFit="1"/>
    </xf>
    <xf numFmtId="49" fontId="5" fillId="0" borderId="3" xfId="7" applyNumberFormat="1" applyFont="1" applyFill="1" applyBorder="1" applyAlignment="1">
      <alignment horizontal="center" shrinkToFit="1"/>
    </xf>
    <xf numFmtId="178" fontId="5" fillId="0" borderId="4" xfId="7" applyNumberFormat="1" applyFont="1" applyFill="1" applyBorder="1" applyAlignment="1">
      <alignment shrinkToFit="1"/>
    </xf>
    <xf numFmtId="178" fontId="5" fillId="0" borderId="1" xfId="7" applyNumberFormat="1" applyFont="1" applyFill="1" applyBorder="1" applyAlignment="1">
      <alignment shrinkToFit="1"/>
    </xf>
    <xf numFmtId="178" fontId="5" fillId="0" borderId="1" xfId="7" applyNumberFormat="1" applyFont="1" applyFill="1" applyBorder="1" applyAlignment="1">
      <alignment horizontal="right" shrinkToFit="1"/>
    </xf>
    <xf numFmtId="3" fontId="4" fillId="0" borderId="0" xfId="7" applyNumberFormat="1" applyFont="1" applyFill="1"/>
    <xf numFmtId="178" fontId="4" fillId="0" borderId="0" xfId="7" applyNumberFormat="1" applyFont="1" applyFill="1"/>
    <xf numFmtId="0" fontId="15" fillId="0" borderId="0" xfId="1" applyFont="1" applyBorder="1" applyAlignment="1">
      <alignment horizontal="center" vertical="center"/>
    </xf>
    <xf numFmtId="0" fontId="4" fillId="0" borderId="4" xfId="7" applyFont="1" applyFill="1" applyBorder="1" applyAlignment="1">
      <alignment horizontal="right"/>
    </xf>
    <xf numFmtId="176" fontId="5" fillId="0" borderId="1" xfId="7" applyNumberFormat="1" applyFont="1" applyFill="1" applyBorder="1" applyAlignment="1">
      <alignment horizontal="right" shrinkToFit="1"/>
    </xf>
    <xf numFmtId="0" fontId="9" fillId="0" borderId="0" xfId="1" applyFont="1"/>
    <xf numFmtId="0" fontId="10" fillId="0" borderId="0" xfId="1" applyFont="1"/>
    <xf numFmtId="0" fontId="10" fillId="0" borderId="0" xfId="1" applyFont="1" applyFill="1"/>
    <xf numFmtId="0" fontId="12" fillId="0" borderId="0" xfId="1" applyFont="1" applyAlignment="1">
      <alignment horizontal="right" vertical="center"/>
    </xf>
    <xf numFmtId="0" fontId="11" fillId="0" borderId="0" xfId="1" applyFont="1" applyAlignment="1">
      <alignment horizontal="right" vertical="center"/>
    </xf>
    <xf numFmtId="0" fontId="10" fillId="0" borderId="0" xfId="1" applyFont="1" applyAlignment="1">
      <alignment horizontal="right" vertical="center"/>
    </xf>
    <xf numFmtId="0" fontId="13" fillId="0" borderId="13" xfId="1" applyNumberFormat="1" applyFont="1" applyBorder="1" applyAlignment="1">
      <alignment horizontal="center" vertical="center"/>
    </xf>
    <xf numFmtId="0" fontId="12" fillId="0" borderId="7" xfId="1" applyNumberFormat="1" applyFont="1" applyBorder="1" applyAlignment="1">
      <alignment horizontal="left" vertical="center"/>
    </xf>
    <xf numFmtId="0" fontId="10" fillId="0" borderId="0" xfId="1" applyFont="1" applyBorder="1" applyAlignment="1">
      <alignment horizontal="left" vertical="center"/>
    </xf>
    <xf numFmtId="0" fontId="13" fillId="0" borderId="0" xfId="1" applyFont="1"/>
    <xf numFmtId="0" fontId="10" fillId="0" borderId="0" xfId="1" applyFont="1" applyBorder="1" applyAlignment="1">
      <alignment horizontal="center" vertical="center"/>
    </xf>
    <xf numFmtId="0" fontId="10" fillId="0" borderId="8" xfId="1" applyFont="1" applyFill="1" applyBorder="1" applyAlignment="1"/>
    <xf numFmtId="0" fontId="9" fillId="0" borderId="9" xfId="1" applyFont="1" applyBorder="1" applyAlignment="1">
      <alignment vertical="center" shrinkToFit="1"/>
    </xf>
    <xf numFmtId="176" fontId="10" fillId="0" borderId="4" xfId="1" applyNumberFormat="1" applyFont="1" applyFill="1" applyBorder="1" applyAlignment="1">
      <alignment vertical="center"/>
    </xf>
    <xf numFmtId="178" fontId="12" fillId="0" borderId="9" xfId="1" applyNumberFormat="1" applyFont="1" applyFill="1" applyBorder="1" applyAlignment="1">
      <alignment horizontal="right" vertical="center"/>
    </xf>
    <xf numFmtId="181" fontId="12" fillId="0" borderId="9" xfId="1" applyNumberFormat="1" applyFont="1" applyFill="1" applyBorder="1" applyAlignment="1">
      <alignment horizontal="right" vertical="center" wrapText="1"/>
    </xf>
    <xf numFmtId="186" fontId="10" fillId="0" borderId="0" xfId="1" applyNumberFormat="1" applyFont="1" applyFill="1" applyBorder="1" applyAlignment="1">
      <alignment vertical="center"/>
    </xf>
    <xf numFmtId="187" fontId="10" fillId="0" borderId="0" xfId="1" applyNumberFormat="1" applyFont="1" applyFill="1" applyBorder="1" applyAlignment="1">
      <alignment vertical="center"/>
    </xf>
    <xf numFmtId="0" fontId="13" fillId="0" borderId="0" xfId="1" applyFont="1" applyFill="1" applyBorder="1" applyAlignment="1">
      <alignment shrinkToFit="1"/>
    </xf>
    <xf numFmtId="0" fontId="13" fillId="0" borderId="0" xfId="1" applyFont="1" applyFill="1" applyBorder="1" applyAlignment="1">
      <alignment vertical="center" shrinkToFit="1"/>
    </xf>
    <xf numFmtId="0" fontId="13" fillId="0" borderId="9" xfId="1" applyFont="1" applyBorder="1" applyAlignment="1">
      <alignment shrinkToFit="1"/>
    </xf>
    <xf numFmtId="0" fontId="13" fillId="0" borderId="9" xfId="1" applyFont="1" applyFill="1" applyBorder="1" applyAlignment="1">
      <alignment horizontal="left" vertical="center" shrinkToFit="1"/>
    </xf>
    <xf numFmtId="0" fontId="15" fillId="0" borderId="0" xfId="1" applyFont="1" applyBorder="1"/>
    <xf numFmtId="0" fontId="10" fillId="0" borderId="10" xfId="1" applyFont="1" applyFill="1" applyBorder="1" applyAlignment="1"/>
    <xf numFmtId="0" fontId="13" fillId="0" borderId="14" xfId="1" applyFont="1" applyFill="1" applyBorder="1" applyAlignment="1">
      <alignment shrinkToFit="1"/>
    </xf>
    <xf numFmtId="0" fontId="13" fillId="0" borderId="11" xfId="1" applyFont="1" applyFill="1" applyBorder="1" applyAlignment="1">
      <alignment horizontal="left" vertical="center" shrinkToFit="1"/>
    </xf>
    <xf numFmtId="176" fontId="10" fillId="0" borderId="1" xfId="1" applyNumberFormat="1" applyFont="1" applyFill="1" applyBorder="1" applyAlignment="1">
      <alignment vertical="center"/>
    </xf>
    <xf numFmtId="178" fontId="12" fillId="0" borderId="11" xfId="1" applyNumberFormat="1" applyFont="1" applyFill="1" applyBorder="1" applyAlignment="1">
      <alignment horizontal="right" vertical="center"/>
    </xf>
    <xf numFmtId="0" fontId="10" fillId="0" borderId="8" xfId="1" applyFont="1" applyFill="1" applyBorder="1" applyAlignment="1">
      <alignment vertical="top" wrapText="1"/>
    </xf>
    <xf numFmtId="0" fontId="13" fillId="0" borderId="9" xfId="1" applyFont="1" applyBorder="1" applyAlignment="1">
      <alignment vertical="top" shrinkToFit="1"/>
    </xf>
    <xf numFmtId="0" fontId="13" fillId="0" borderId="0" xfId="1" applyFont="1" applyFill="1" applyBorder="1" applyAlignment="1">
      <alignment vertical="top" shrinkToFit="1"/>
    </xf>
    <xf numFmtId="0" fontId="13" fillId="0" borderId="9" xfId="1" applyFont="1" applyFill="1" applyBorder="1" applyAlignment="1">
      <alignment horizontal="left" vertical="top" shrinkToFit="1"/>
    </xf>
    <xf numFmtId="49" fontId="10" fillId="0" borderId="0" xfId="1" applyNumberFormat="1" applyFont="1" applyFill="1" applyBorder="1" applyAlignment="1">
      <alignment vertical="center"/>
    </xf>
    <xf numFmtId="0" fontId="10" fillId="0" borderId="10" xfId="1" applyFont="1" applyFill="1" applyBorder="1" applyAlignment="1">
      <alignment vertical="top" wrapText="1"/>
    </xf>
    <xf numFmtId="0" fontId="13" fillId="0" borderId="14" xfId="1" applyFont="1" applyFill="1" applyBorder="1" applyAlignment="1">
      <alignment vertical="top" shrinkToFit="1"/>
    </xf>
    <xf numFmtId="0" fontId="13" fillId="0" borderId="11" xfId="1" applyFont="1" applyFill="1" applyBorder="1" applyAlignment="1">
      <alignment horizontal="left" vertical="top" shrinkToFit="1"/>
    </xf>
    <xf numFmtId="176" fontId="16" fillId="0" borderId="4" xfId="1" applyNumberFormat="1" applyFont="1" applyFill="1" applyBorder="1" applyAlignment="1">
      <alignment vertical="center"/>
    </xf>
    <xf numFmtId="0" fontId="16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13" fillId="0" borderId="14" xfId="1" applyFont="1" applyFill="1" applyBorder="1" applyAlignment="1">
      <alignment horizontal="left" vertical="top" shrinkToFit="1"/>
    </xf>
    <xf numFmtId="176" fontId="10" fillId="0" borderId="14" xfId="1" applyNumberFormat="1" applyFont="1" applyFill="1" applyBorder="1" applyAlignment="1">
      <alignment vertical="center"/>
    </xf>
    <xf numFmtId="178" fontId="12" fillId="0" borderId="14" xfId="1" applyNumberFormat="1" applyFont="1" applyFill="1" applyBorder="1" applyAlignment="1">
      <alignment horizontal="right" vertical="center"/>
    </xf>
    <xf numFmtId="0" fontId="7" fillId="0" borderId="0" xfId="1" applyFont="1" applyFill="1" applyBorder="1" applyAlignment="1">
      <alignment horizontal="left" vertical="center"/>
    </xf>
    <xf numFmtId="0" fontId="15" fillId="0" borderId="0" xfId="1" applyFont="1"/>
    <xf numFmtId="0" fontId="17" fillId="0" borderId="0" xfId="9" applyFont="1" applyAlignment="1">
      <alignment horizontal="left" vertical="center"/>
    </xf>
    <xf numFmtId="0" fontId="10" fillId="0" borderId="0" xfId="1" applyFont="1" applyFill="1" applyAlignment="1">
      <alignment vertical="center"/>
    </xf>
    <xf numFmtId="0" fontId="9" fillId="0" borderId="0" xfId="1" applyFont="1" applyFill="1"/>
    <xf numFmtId="0" fontId="14" fillId="0" borderId="0" xfId="1" applyFont="1"/>
    <xf numFmtId="0" fontId="5" fillId="0" borderId="4" xfId="7" applyFont="1" applyFill="1" applyBorder="1" applyAlignment="1">
      <alignment horizontal="left" vertical="center" wrapText="1"/>
    </xf>
    <xf numFmtId="49" fontId="5" fillId="0" borderId="4" xfId="7" applyNumberFormat="1" applyFont="1" applyFill="1" applyBorder="1" applyAlignment="1">
      <alignment horizontal="center"/>
    </xf>
    <xf numFmtId="0" fontId="4" fillId="0" borderId="4" xfId="7" applyFont="1" applyBorder="1" applyAlignment="1">
      <alignment horizontal="center" wrapText="1"/>
    </xf>
    <xf numFmtId="176" fontId="5" fillId="0" borderId="4" xfId="7" applyNumberFormat="1" applyFont="1" applyBorder="1" applyAlignment="1">
      <alignment horizontal="right" vertical="center" shrinkToFit="1"/>
    </xf>
    <xf numFmtId="177" fontId="5" fillId="0" borderId="4" xfId="7" applyNumberFormat="1" applyFont="1" applyBorder="1" applyAlignment="1">
      <alignment horizontal="right" vertical="center" shrinkToFit="1"/>
    </xf>
    <xf numFmtId="176" fontId="5" fillId="0" borderId="1" xfId="7" applyNumberFormat="1" applyFont="1" applyBorder="1" applyAlignment="1">
      <alignment horizontal="right" vertical="center" shrinkToFit="1"/>
    </xf>
    <xf numFmtId="177" fontId="5" fillId="0" borderId="1" xfId="7" applyNumberFormat="1" applyFont="1" applyBorder="1" applyAlignment="1">
      <alignment horizontal="right" vertical="center" shrinkToFit="1"/>
    </xf>
    <xf numFmtId="176" fontId="5" fillId="0" borderId="0" xfId="7" applyNumberFormat="1" applyFont="1" applyBorder="1" applyAlignment="1">
      <alignment horizontal="right" vertical="center" shrinkToFit="1"/>
    </xf>
    <xf numFmtId="177" fontId="5" fillId="0" borderId="0" xfId="7" applyNumberFormat="1" applyFont="1" applyBorder="1" applyAlignment="1">
      <alignment horizontal="right" vertical="center" shrinkToFit="1"/>
    </xf>
    <xf numFmtId="0" fontId="15" fillId="0" borderId="0" xfId="5" applyFont="1"/>
    <xf numFmtId="0" fontId="13" fillId="0" borderId="0" xfId="5" applyFont="1"/>
    <xf numFmtId="0" fontId="18" fillId="0" borderId="0" xfId="5" applyFont="1" applyAlignment="1">
      <alignment vertical="center" shrinkToFit="1"/>
    </xf>
    <xf numFmtId="0" fontId="5" fillId="0" borderId="0" xfId="5" applyFont="1"/>
    <xf numFmtId="0" fontId="18" fillId="0" borderId="0" xfId="5" applyFont="1" applyAlignment="1">
      <alignment shrinkToFit="1"/>
    </xf>
    <xf numFmtId="0" fontId="10" fillId="0" borderId="0" xfId="5" applyFont="1"/>
    <xf numFmtId="0" fontId="10" fillId="0" borderId="0" xfId="5" applyFont="1" applyFill="1"/>
    <xf numFmtId="178" fontId="10" fillId="0" borderId="0" xfId="5" applyNumberFormat="1" applyFont="1" applyAlignment="1">
      <alignment horizontal="right" vertical="center"/>
    </xf>
    <xf numFmtId="178" fontId="19" fillId="0" borderId="0" xfId="5" applyNumberFormat="1" applyFont="1" applyAlignment="1">
      <alignment horizontal="right" vertical="center"/>
    </xf>
    <xf numFmtId="0" fontId="10" fillId="0" borderId="0" xfId="5" applyFont="1" applyAlignment="1">
      <alignment horizontal="right" vertical="center"/>
    </xf>
    <xf numFmtId="182" fontId="13" fillId="0" borderId="13" xfId="2" applyNumberFormat="1" applyFont="1" applyBorder="1" applyAlignment="1">
      <alignment horizontal="center" vertical="center"/>
    </xf>
    <xf numFmtId="182" fontId="10" fillId="0" borderId="15" xfId="2" applyNumberFormat="1" applyFont="1" applyBorder="1" applyAlignment="1">
      <alignment horizontal="left" vertical="center"/>
    </xf>
    <xf numFmtId="182" fontId="10" fillId="0" borderId="7" xfId="2" applyNumberFormat="1" applyFont="1" applyBorder="1" applyAlignment="1">
      <alignment horizontal="left" vertical="center"/>
    </xf>
    <xf numFmtId="0" fontId="10" fillId="0" borderId="0" xfId="5" applyFont="1" applyBorder="1" applyAlignment="1">
      <alignment horizontal="left" vertical="center"/>
    </xf>
    <xf numFmtId="0" fontId="10" fillId="0" borderId="0" xfId="5" applyFont="1" applyBorder="1" applyAlignment="1">
      <alignment horizontal="center" vertical="center"/>
    </xf>
    <xf numFmtId="0" fontId="15" fillId="0" borderId="0" xfId="5" applyFont="1" applyAlignment="1"/>
    <xf numFmtId="0" fontId="15" fillId="0" borderId="0" xfId="5" applyFont="1" applyBorder="1" applyAlignment="1">
      <alignment horizontal="center" vertical="center"/>
    </xf>
    <xf numFmtId="0" fontId="13" fillId="0" borderId="8" xfId="5" applyFont="1" applyFill="1" applyBorder="1"/>
    <xf numFmtId="0" fontId="13" fillId="0" borderId="0" xfId="5" applyFont="1" applyFill="1" applyBorder="1" applyAlignment="1">
      <alignment horizontal="left" vertical="center" wrapText="1"/>
    </xf>
    <xf numFmtId="0" fontId="13" fillId="0" borderId="9" xfId="5" applyFont="1" applyFill="1" applyBorder="1"/>
    <xf numFmtId="176" fontId="10" fillId="0" borderId="7" xfId="2" applyNumberFormat="1" applyFont="1" applyFill="1" applyBorder="1" applyAlignment="1">
      <alignment horizontal="right" vertical="center"/>
    </xf>
    <xf numFmtId="178" fontId="10" fillId="0" borderId="7" xfId="2" applyNumberFormat="1" applyFont="1" applyFill="1" applyBorder="1" applyAlignment="1">
      <alignment horizontal="right" vertical="center"/>
    </xf>
    <xf numFmtId="186" fontId="10" fillId="0" borderId="0" xfId="5" applyNumberFormat="1" applyFont="1" applyFill="1" applyBorder="1" applyAlignment="1">
      <alignment vertical="center"/>
    </xf>
    <xf numFmtId="187" fontId="10" fillId="0" borderId="0" xfId="5" applyNumberFormat="1" applyFont="1" applyFill="1" applyBorder="1" applyAlignment="1">
      <alignment vertical="center"/>
    </xf>
    <xf numFmtId="0" fontId="18" fillId="2" borderId="16" xfId="5" applyFont="1" applyFill="1" applyBorder="1" applyAlignment="1">
      <alignment vertical="center" shrinkToFit="1"/>
    </xf>
    <xf numFmtId="188" fontId="10" fillId="0" borderId="9" xfId="2" applyNumberFormat="1" applyFont="1" applyFill="1" applyBorder="1" applyAlignment="1">
      <alignment horizontal="right" vertical="center"/>
    </xf>
    <xf numFmtId="189" fontId="10" fillId="0" borderId="9" xfId="2" applyNumberFormat="1" applyFont="1" applyFill="1" applyBorder="1" applyAlignment="1">
      <alignment horizontal="right" vertical="center"/>
    </xf>
    <xf numFmtId="0" fontId="13" fillId="0" borderId="0" xfId="5" applyFont="1" applyFill="1" applyBorder="1"/>
    <xf numFmtId="0" fontId="13" fillId="0" borderId="0" xfId="5" applyFont="1" applyFill="1" applyBorder="1" applyAlignment="1">
      <alignment vertical="center" shrinkToFit="1"/>
    </xf>
    <xf numFmtId="176" fontId="10" fillId="0" borderId="9" xfId="2" applyNumberFormat="1" applyFont="1" applyFill="1" applyBorder="1" applyAlignment="1">
      <alignment horizontal="right" vertical="center"/>
    </xf>
    <xf numFmtId="178" fontId="10" fillId="0" borderId="9" xfId="2" applyNumberFormat="1" applyFont="1" applyFill="1" applyBorder="1" applyAlignment="1">
      <alignment horizontal="right" vertical="center"/>
    </xf>
    <xf numFmtId="0" fontId="13" fillId="0" borderId="0" xfId="5" applyFont="1" applyFill="1" applyBorder="1" applyAlignment="1">
      <alignment shrinkToFit="1"/>
    </xf>
    <xf numFmtId="0" fontId="13" fillId="0" borderId="0" xfId="5" applyFont="1" applyBorder="1" applyAlignment="1">
      <alignment shrinkToFit="1"/>
    </xf>
    <xf numFmtId="0" fontId="13" fillId="0" borderId="0" xfId="5" applyFont="1" applyFill="1" applyBorder="1" applyAlignment="1">
      <alignment horizontal="left" vertical="center" shrinkToFit="1"/>
    </xf>
    <xf numFmtId="176" fontId="10" fillId="0" borderId="9" xfId="2" applyNumberFormat="1" applyFont="1" applyFill="1" applyBorder="1" applyAlignment="1">
      <alignment vertical="center"/>
    </xf>
    <xf numFmtId="0" fontId="15" fillId="0" borderId="0" xfId="5" applyFont="1" applyBorder="1"/>
    <xf numFmtId="0" fontId="13" fillId="0" borderId="10" xfId="5" applyFont="1" applyFill="1" applyBorder="1"/>
    <xf numFmtId="0" fontId="13" fillId="0" borderId="14" xfId="5" applyFont="1" applyFill="1" applyBorder="1"/>
    <xf numFmtId="0" fontId="13" fillId="0" borderId="14" xfId="5" applyFont="1" applyFill="1" applyBorder="1" applyAlignment="1">
      <alignment shrinkToFit="1"/>
    </xf>
    <xf numFmtId="0" fontId="13" fillId="0" borderId="11" xfId="5" applyFont="1" applyFill="1" applyBorder="1"/>
    <xf numFmtId="176" fontId="10" fillId="0" borderId="11" xfId="2" applyNumberFormat="1" applyFont="1" applyFill="1" applyBorder="1" applyAlignment="1">
      <alignment vertical="center"/>
    </xf>
    <xf numFmtId="178" fontId="10" fillId="0" borderId="11" xfId="2" applyNumberFormat="1" applyFont="1" applyFill="1" applyBorder="1" applyAlignment="1">
      <alignment horizontal="right" vertical="center"/>
    </xf>
    <xf numFmtId="0" fontId="13" fillId="0" borderId="8" xfId="5" applyFont="1" applyFill="1" applyBorder="1" applyAlignment="1">
      <alignment vertical="top" textRotation="255" wrapText="1"/>
    </xf>
    <xf numFmtId="0" fontId="18" fillId="0" borderId="5" xfId="5" applyFont="1" applyBorder="1" applyAlignment="1">
      <alignment vertical="center" shrinkToFit="1"/>
    </xf>
    <xf numFmtId="0" fontId="13" fillId="0" borderId="0" xfId="5" applyFont="1" applyFill="1" applyBorder="1" applyAlignment="1">
      <alignment horizontal="left" vertical="center"/>
    </xf>
    <xf numFmtId="0" fontId="13" fillId="0" borderId="0" xfId="2" applyFont="1" applyBorder="1" applyAlignment="1">
      <alignment horizontal="left" vertical="center" shrinkToFit="1"/>
    </xf>
    <xf numFmtId="0" fontId="18" fillId="2" borderId="17" xfId="5" applyFont="1" applyFill="1" applyBorder="1" applyAlignment="1">
      <alignment vertical="center" shrinkToFit="1"/>
    </xf>
    <xf numFmtId="49" fontId="10" fillId="0" borderId="0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vertical="center" shrinkToFit="1"/>
    </xf>
    <xf numFmtId="176" fontId="16" fillId="0" borderId="9" xfId="2" applyNumberFormat="1" applyFont="1" applyFill="1" applyBorder="1" applyAlignment="1">
      <alignment vertical="center"/>
    </xf>
    <xf numFmtId="178" fontId="16" fillId="0" borderId="9" xfId="2" applyNumberFormat="1" applyFont="1" applyFill="1" applyBorder="1" applyAlignment="1">
      <alignment horizontal="right" vertical="center"/>
    </xf>
    <xf numFmtId="0" fontId="16" fillId="0" borderId="0" xfId="5" applyFont="1" applyFill="1" applyBorder="1" applyAlignment="1">
      <alignment vertical="center"/>
    </xf>
    <xf numFmtId="0" fontId="9" fillId="0" borderId="0" xfId="5" applyFont="1" applyFill="1" applyBorder="1" applyAlignment="1">
      <alignment vertical="center"/>
    </xf>
    <xf numFmtId="178" fontId="10" fillId="0" borderId="9" xfId="2" applyNumberFormat="1" applyFont="1" applyBorder="1" applyAlignment="1">
      <alignment horizontal="right" vertical="center"/>
    </xf>
    <xf numFmtId="0" fontId="10" fillId="0" borderId="0" xfId="5" applyFont="1" applyAlignment="1"/>
    <xf numFmtId="0" fontId="15" fillId="0" borderId="0" xfId="5" applyFont="1" applyFill="1" applyAlignment="1"/>
    <xf numFmtId="178" fontId="15" fillId="0" borderId="0" xfId="5" applyNumberFormat="1" applyFont="1" applyAlignment="1"/>
    <xf numFmtId="0" fontId="7" fillId="0" borderId="0" xfId="5" applyFont="1" applyAlignment="1"/>
    <xf numFmtId="0" fontId="7" fillId="0" borderId="0" xfId="2" applyFont="1" applyAlignment="1"/>
    <xf numFmtId="0" fontId="10" fillId="0" borderId="0" xfId="2" applyFont="1" applyAlignment="1">
      <alignment horizontal="left"/>
    </xf>
    <xf numFmtId="0" fontId="10" fillId="0" borderId="0" xfId="5" applyFont="1" applyFill="1" applyAlignment="1">
      <alignment vertical="center"/>
    </xf>
    <xf numFmtId="0" fontId="9" fillId="0" borderId="0" xfId="2" applyFont="1"/>
    <xf numFmtId="0" fontId="15" fillId="0" borderId="0" xfId="5" applyFont="1" applyFill="1"/>
    <xf numFmtId="178" fontId="15" fillId="0" borderId="0" xfId="5" applyNumberFormat="1" applyFont="1"/>
    <xf numFmtId="0" fontId="2" fillId="0" borderId="0" xfId="5" applyFont="1"/>
    <xf numFmtId="0" fontId="5" fillId="0" borderId="0" xfId="5" applyFont="1" applyAlignment="1">
      <alignment horizontal="right" vertical="center"/>
    </xf>
    <xf numFmtId="0" fontId="11" fillId="0" borderId="0" xfId="5" applyFont="1" applyAlignment="1">
      <alignment horizontal="right" vertical="center"/>
    </xf>
    <xf numFmtId="0" fontId="13" fillId="0" borderId="18" xfId="3" applyNumberFormat="1" applyFont="1" applyBorder="1" applyAlignment="1">
      <alignment horizontal="center" vertical="center"/>
    </xf>
    <xf numFmtId="0" fontId="13" fillId="0" borderId="19" xfId="5" applyNumberFormat="1" applyFont="1" applyFill="1" applyBorder="1" applyAlignment="1">
      <alignment horizontal="center" vertical="center"/>
    </xf>
    <xf numFmtId="0" fontId="13" fillId="0" borderId="20" xfId="5" applyNumberFormat="1" applyFont="1" applyFill="1" applyBorder="1" applyAlignment="1">
      <alignment horizontal="center" vertical="center"/>
    </xf>
    <xf numFmtId="0" fontId="5" fillId="0" borderId="21" xfId="5" applyFont="1" applyFill="1" applyBorder="1" applyAlignment="1">
      <alignment horizontal="left" vertical="center"/>
    </xf>
    <xf numFmtId="0" fontId="5" fillId="0" borderId="21" xfId="5" applyFont="1" applyBorder="1" applyAlignment="1">
      <alignment horizontal="center" vertical="top"/>
    </xf>
    <xf numFmtId="0" fontId="13" fillId="0" borderId="19" xfId="5" applyFont="1" applyBorder="1"/>
    <xf numFmtId="0" fontId="13" fillId="0" borderId="22" xfId="5" applyFont="1" applyBorder="1"/>
    <xf numFmtId="178" fontId="13" fillId="0" borderId="23" xfId="5" applyNumberFormat="1" applyFont="1" applyFill="1" applyBorder="1" applyAlignment="1">
      <alignment horizontal="center"/>
    </xf>
    <xf numFmtId="49" fontId="5" fillId="0" borderId="21" xfId="5" applyNumberFormat="1" applyFont="1" applyFill="1" applyBorder="1" applyAlignment="1">
      <alignment horizontal="center" vertical="center"/>
    </xf>
    <xf numFmtId="0" fontId="13" fillId="0" borderId="24" xfId="5" applyFont="1" applyBorder="1"/>
    <xf numFmtId="0" fontId="13" fillId="0" borderId="25" xfId="5" applyFont="1" applyBorder="1"/>
    <xf numFmtId="0" fontId="13" fillId="0" borderId="21" xfId="3" applyFont="1" applyBorder="1"/>
    <xf numFmtId="178" fontId="13" fillId="0" borderId="21" xfId="5" applyNumberFormat="1" applyFont="1" applyFill="1" applyBorder="1" applyAlignment="1">
      <alignment horizontal="center"/>
    </xf>
    <xf numFmtId="0" fontId="13" fillId="0" borderId="0" xfId="3" applyFont="1" applyBorder="1"/>
    <xf numFmtId="0" fontId="13" fillId="0" borderId="26" xfId="5" applyFont="1" applyBorder="1"/>
    <xf numFmtId="0" fontId="13" fillId="0" borderId="23" xfId="3" applyFont="1" applyBorder="1"/>
    <xf numFmtId="0" fontId="13" fillId="0" borderId="12" xfId="3" applyFont="1" applyBorder="1"/>
    <xf numFmtId="0" fontId="13" fillId="0" borderId="27" xfId="5" applyFont="1" applyBorder="1"/>
    <xf numFmtId="0" fontId="13" fillId="0" borderId="12" xfId="5" applyFont="1" applyBorder="1"/>
    <xf numFmtId="178" fontId="13" fillId="0" borderId="12" xfId="5" applyNumberFormat="1" applyFont="1" applyFill="1" applyBorder="1" applyAlignment="1">
      <alignment horizontal="center"/>
    </xf>
    <xf numFmtId="49" fontId="5" fillId="0" borderId="0" xfId="5" applyNumberFormat="1" applyFont="1" applyFill="1" applyBorder="1" applyAlignment="1">
      <alignment horizontal="center" vertical="center"/>
    </xf>
    <xf numFmtId="0" fontId="9" fillId="0" borderId="0" xfId="3" applyFont="1"/>
    <xf numFmtId="178" fontId="13" fillId="0" borderId="28" xfId="5" applyNumberFormat="1" applyFont="1" applyFill="1" applyBorder="1" applyAlignment="1">
      <alignment horizontal="right"/>
    </xf>
    <xf numFmtId="178" fontId="13" fillId="0" borderId="29" xfId="5" applyNumberFormat="1" applyFont="1" applyFill="1" applyBorder="1" applyAlignment="1">
      <alignment horizontal="right"/>
    </xf>
    <xf numFmtId="0" fontId="10" fillId="0" borderId="0" xfId="1" applyFont="1" applyAlignment="1">
      <alignment horizontal="left" vertical="center"/>
    </xf>
    <xf numFmtId="0" fontId="15" fillId="0" borderId="0" xfId="5" applyFont="1" applyAlignment="1">
      <alignment horizontal="left"/>
    </xf>
    <xf numFmtId="0" fontId="17" fillId="0" borderId="0" xfId="9" applyFont="1" applyAlignment="1">
      <alignment vertical="center"/>
    </xf>
    <xf numFmtId="0" fontId="11" fillId="0" borderId="0" xfId="9" applyFont="1" applyAlignment="1">
      <alignment horizontal="left" vertical="center"/>
    </xf>
    <xf numFmtId="0" fontId="11" fillId="0" borderId="0" xfId="9" applyFont="1" applyAlignment="1">
      <alignment vertical="center"/>
    </xf>
    <xf numFmtId="0" fontId="13" fillId="0" borderId="0" xfId="6" applyFont="1" applyAlignment="1">
      <alignment horizontal="left"/>
    </xf>
    <xf numFmtId="0" fontId="10" fillId="0" borderId="0" xfId="6" applyFont="1" applyAlignment="1">
      <alignment horizontal="left" vertical="center"/>
    </xf>
    <xf numFmtId="0" fontId="10" fillId="0" borderId="0" xfId="4" applyFont="1" applyAlignment="1">
      <alignment vertical="center"/>
    </xf>
    <xf numFmtId="0" fontId="15" fillId="0" borderId="0" xfId="5" applyFont="1" applyAlignment="1">
      <alignment vertical="center"/>
    </xf>
    <xf numFmtId="0" fontId="10" fillId="0" borderId="0" xfId="7" applyFont="1" applyFill="1" applyBorder="1" applyAlignment="1">
      <alignment vertical="center"/>
    </xf>
    <xf numFmtId="0" fontId="10" fillId="0" borderId="0" xfId="2" applyFont="1" applyAlignment="1">
      <alignment horizontal="left" vertical="center"/>
    </xf>
    <xf numFmtId="0" fontId="15" fillId="0" borderId="0" xfId="5" applyFont="1" applyAlignment="1">
      <alignment horizontal="left" vertical="center"/>
    </xf>
    <xf numFmtId="49" fontId="10" fillId="0" borderId="0" xfId="1" applyNumberFormat="1" applyFont="1" applyBorder="1" applyAlignment="1">
      <alignment horizontal="left" vertical="center"/>
    </xf>
    <xf numFmtId="49" fontId="10" fillId="0" borderId="0" xfId="2" applyNumberFormat="1" applyFont="1" applyBorder="1" applyAlignment="1">
      <alignment horizontal="left" vertical="center"/>
    </xf>
    <xf numFmtId="49" fontId="10" fillId="0" borderId="0" xfId="2" applyNumberFormat="1" applyFont="1" applyAlignment="1">
      <alignment horizontal="left" vertical="center"/>
    </xf>
    <xf numFmtId="215" fontId="5" fillId="0" borderId="4" xfId="7" applyNumberFormat="1" applyFont="1" applyBorder="1" applyAlignment="1">
      <alignment shrinkToFit="1"/>
    </xf>
    <xf numFmtId="216" fontId="5" fillId="0" borderId="4" xfId="7" applyNumberFormat="1" applyFont="1" applyBorder="1" applyAlignment="1">
      <alignment shrinkToFit="1"/>
    </xf>
    <xf numFmtId="49" fontId="5" fillId="0" borderId="6" xfId="7" applyNumberFormat="1" applyFont="1" applyFill="1" applyBorder="1" applyAlignment="1">
      <alignment horizontal="center"/>
    </xf>
    <xf numFmtId="49" fontId="5" fillId="0" borderId="7" xfId="7" applyNumberFormat="1" applyFont="1" applyFill="1" applyBorder="1" applyAlignment="1">
      <alignment horizontal="center"/>
    </xf>
    <xf numFmtId="49" fontId="5" fillId="0" borderId="3" xfId="7" applyNumberFormat="1" applyFont="1" applyFill="1" applyBorder="1" applyAlignment="1">
      <alignment horizontal="center"/>
    </xf>
    <xf numFmtId="49" fontId="5" fillId="0" borderId="30" xfId="7" applyNumberFormat="1" applyFont="1" applyFill="1" applyBorder="1" applyAlignment="1">
      <alignment horizontal="center"/>
    </xf>
    <xf numFmtId="0" fontId="5" fillId="0" borderId="3" xfId="7" applyFont="1" applyFill="1" applyBorder="1" applyAlignment="1">
      <alignment horizontal="left"/>
    </xf>
    <xf numFmtId="0" fontId="5" fillId="0" borderId="4" xfId="7" applyFont="1" applyFill="1" applyBorder="1" applyAlignment="1">
      <alignment horizontal="left"/>
    </xf>
    <xf numFmtId="0" fontId="5" fillId="0" borderId="6" xfId="7" applyFont="1" applyFill="1" applyBorder="1" applyAlignment="1">
      <alignment horizontal="center" vertical="center"/>
    </xf>
    <xf numFmtId="0" fontId="5" fillId="0" borderId="8" xfId="7" applyFont="1" applyFill="1" applyBorder="1" applyAlignment="1">
      <alignment horizontal="center" vertical="center"/>
    </xf>
    <xf numFmtId="0" fontId="5" fillId="0" borderId="8" xfId="6" applyFont="1" applyFill="1" applyBorder="1" applyAlignment="1">
      <alignment horizontal="left"/>
    </xf>
    <xf numFmtId="0" fontId="5" fillId="0" borderId="4" xfId="7" applyFont="1" applyFill="1" applyBorder="1" applyAlignment="1">
      <alignment horizontal="center"/>
    </xf>
    <xf numFmtId="0" fontId="5" fillId="0" borderId="1" xfId="7" applyFont="1" applyFill="1" applyBorder="1" applyAlignment="1">
      <alignment horizontal="left"/>
    </xf>
    <xf numFmtId="0" fontId="5" fillId="0" borderId="10" xfId="7" applyFont="1" applyFill="1" applyBorder="1" applyAlignment="1">
      <alignment horizontal="center" vertical="center"/>
    </xf>
    <xf numFmtId="49" fontId="5" fillId="0" borderId="2" xfId="7" applyNumberFormat="1" applyFont="1" applyFill="1" applyBorder="1" applyAlignment="1">
      <alignment horizontal="center"/>
    </xf>
    <xf numFmtId="0" fontId="5" fillId="0" borderId="3" xfId="7" applyFont="1" applyFill="1" applyBorder="1" applyAlignment="1">
      <alignment horizontal="center" vertical="center"/>
    </xf>
    <xf numFmtId="0" fontId="5" fillId="0" borderId="1" xfId="7" applyFont="1" applyFill="1" applyBorder="1" applyAlignment="1">
      <alignment horizontal="center" vertical="center"/>
    </xf>
    <xf numFmtId="0" fontId="5" fillId="0" borderId="0" xfId="7" applyFont="1" applyFill="1" applyBorder="1" applyAlignment="1">
      <alignment vertical="center"/>
    </xf>
    <xf numFmtId="49" fontId="5" fillId="0" borderId="12" xfId="7" applyNumberFormat="1" applyFont="1" applyFill="1" applyBorder="1" applyAlignment="1">
      <alignment horizontal="center"/>
    </xf>
    <xf numFmtId="49" fontId="5" fillId="0" borderId="18" xfId="7" applyNumberFormat="1" applyFont="1" applyFill="1" applyBorder="1" applyAlignment="1">
      <alignment horizontal="center"/>
    </xf>
    <xf numFmtId="0" fontId="5" fillId="0" borderId="4" xfId="7" applyFont="1" applyFill="1" applyBorder="1" applyAlignment="1">
      <alignment horizontal="left" vertical="top" wrapText="1"/>
    </xf>
    <xf numFmtId="0" fontId="4" fillId="0" borderId="0" xfId="7" applyFont="1" applyFill="1" applyBorder="1" applyAlignment="1">
      <alignment vertical="center"/>
    </xf>
    <xf numFmtId="49" fontId="5" fillId="0" borderId="3" xfId="7" applyNumberFormat="1" applyFont="1" applyFill="1" applyBorder="1" applyAlignment="1">
      <alignment horizontal="center" vertical="center"/>
    </xf>
    <xf numFmtId="49" fontId="5" fillId="0" borderId="1" xfId="7" applyNumberFormat="1" applyFont="1" applyFill="1" applyBorder="1" applyAlignment="1">
      <alignment horizontal="center" vertical="center"/>
    </xf>
    <xf numFmtId="0" fontId="5" fillId="0" borderId="4" xfId="7" applyFont="1" applyFill="1" applyBorder="1" applyAlignment="1"/>
    <xf numFmtId="0" fontId="4" fillId="0" borderId="0" xfId="7" applyFont="1" applyFill="1" applyAlignment="1">
      <alignment vertical="center"/>
    </xf>
    <xf numFmtId="0" fontId="4" fillId="0" borderId="18" xfId="7" applyFont="1" applyFill="1" applyBorder="1" applyAlignment="1">
      <alignment horizontal="center"/>
    </xf>
    <xf numFmtId="0" fontId="5" fillId="0" borderId="0" xfId="7" applyFont="1" applyFill="1" applyAlignment="1">
      <alignment vertical="center"/>
    </xf>
    <xf numFmtId="0" fontId="5" fillId="0" borderId="12" xfId="7" applyFont="1" applyFill="1" applyBorder="1" applyAlignment="1">
      <alignment horizontal="center"/>
    </xf>
    <xf numFmtId="177" fontId="5" fillId="0" borderId="8" xfId="7" applyNumberFormat="1" applyFont="1" applyBorder="1" applyAlignment="1">
      <alignment horizontal="center" shrinkToFit="1"/>
    </xf>
    <xf numFmtId="177" fontId="5" fillId="0" borderId="9" xfId="7" applyNumberFormat="1" applyFont="1" applyBorder="1" applyAlignment="1">
      <alignment horizontal="center" shrinkToFit="1"/>
    </xf>
    <xf numFmtId="179" fontId="5" fillId="0" borderId="8" xfId="7" applyNumberFormat="1" applyFont="1" applyBorder="1" applyAlignment="1">
      <alignment horizontal="center" shrinkToFit="1"/>
    </xf>
    <xf numFmtId="179" fontId="5" fillId="0" borderId="9" xfId="7" applyNumberFormat="1" applyFont="1" applyBorder="1" applyAlignment="1">
      <alignment horizontal="center" shrinkToFit="1"/>
    </xf>
    <xf numFmtId="179" fontId="5" fillId="0" borderId="10" xfId="7" applyNumberFormat="1" applyFont="1" applyBorder="1" applyAlignment="1">
      <alignment horizontal="center" shrinkToFit="1"/>
    </xf>
    <xf numFmtId="179" fontId="5" fillId="0" borderId="11" xfId="7" applyNumberFormat="1" applyFont="1" applyBorder="1" applyAlignment="1">
      <alignment horizontal="center" shrinkToFit="1"/>
    </xf>
    <xf numFmtId="177" fontId="5" fillId="0" borderId="10" xfId="7" applyNumberFormat="1" applyFont="1" applyBorder="1" applyAlignment="1">
      <alignment horizontal="center" shrinkToFit="1"/>
    </xf>
    <xf numFmtId="177" fontId="5" fillId="0" borderId="11" xfId="7" applyNumberFormat="1" applyFont="1" applyBorder="1" applyAlignment="1">
      <alignment horizontal="center" shrinkToFit="1"/>
    </xf>
    <xf numFmtId="0" fontId="5" fillId="0" borderId="4" xfId="7" applyFont="1" applyFill="1" applyBorder="1" applyAlignment="1">
      <alignment horizontal="center" vertical="center"/>
    </xf>
    <xf numFmtId="0" fontId="5" fillId="0" borderId="0" xfId="7" applyFont="1" applyFill="1" applyAlignment="1">
      <alignment horizontal="center"/>
    </xf>
    <xf numFmtId="0" fontId="10" fillId="0" borderId="0" xfId="1" applyFont="1" applyAlignment="1">
      <alignment horizontal="left" vertical="center" shrinkToFit="1"/>
    </xf>
    <xf numFmtId="0" fontId="9" fillId="0" borderId="0" xfId="1" applyFont="1" applyAlignment="1">
      <alignment horizontal="left" vertical="center"/>
    </xf>
    <xf numFmtId="0" fontId="17" fillId="0" borderId="0" xfId="9" applyFont="1" applyAlignment="1">
      <alignment vertical="center"/>
    </xf>
    <xf numFmtId="0" fontId="2" fillId="0" borderId="0" xfId="1" applyFont="1" applyFill="1" applyAlignment="1">
      <alignment horizontal="left" vertical="top"/>
    </xf>
    <xf numFmtId="0" fontId="13" fillId="0" borderId="6" xfId="1" applyFont="1" applyBorder="1" applyAlignment="1">
      <alignment horizontal="center" vertical="center" shrinkToFit="1"/>
    </xf>
    <xf numFmtId="0" fontId="9" fillId="0" borderId="13" xfId="1" applyFont="1" applyBorder="1" applyAlignment="1">
      <alignment horizontal="center" vertical="center" shrinkToFit="1"/>
    </xf>
    <xf numFmtId="0" fontId="9" fillId="0" borderId="7" xfId="1" applyFont="1" applyBorder="1" applyAlignment="1">
      <alignment horizontal="center" vertical="center" shrinkToFit="1"/>
    </xf>
    <xf numFmtId="0" fontId="9" fillId="0" borderId="8" xfId="1" applyFont="1" applyBorder="1" applyAlignment="1">
      <alignment horizontal="center" vertical="center" shrinkToFit="1"/>
    </xf>
    <xf numFmtId="0" fontId="9" fillId="0" borderId="0" xfId="1" applyFont="1" applyBorder="1" applyAlignment="1">
      <alignment horizontal="center" vertical="center" shrinkToFit="1"/>
    </xf>
    <xf numFmtId="0" fontId="9" fillId="0" borderId="9" xfId="1" applyFont="1" applyBorder="1" applyAlignment="1">
      <alignment horizontal="center" vertical="center" shrinkToFit="1"/>
    </xf>
    <xf numFmtId="0" fontId="9" fillId="0" borderId="10" xfId="1" applyFont="1" applyBorder="1" applyAlignment="1">
      <alignment horizontal="center" vertical="center" shrinkToFit="1"/>
    </xf>
    <xf numFmtId="0" fontId="9" fillId="0" borderId="14" xfId="1" applyFont="1" applyBorder="1" applyAlignment="1">
      <alignment horizontal="center" vertical="center" shrinkToFit="1"/>
    </xf>
    <xf numFmtId="0" fontId="9" fillId="0" borderId="11" xfId="1" applyFont="1" applyBorder="1" applyAlignment="1">
      <alignment horizontal="center" vertical="center" shrinkToFit="1"/>
    </xf>
    <xf numFmtId="0" fontId="13" fillId="0" borderId="4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 wrapText="1"/>
    </xf>
    <xf numFmtId="0" fontId="14" fillId="0" borderId="1" xfId="1" applyFont="1" applyBorder="1"/>
    <xf numFmtId="0" fontId="9" fillId="0" borderId="0" xfId="1" applyFont="1" applyAlignment="1"/>
    <xf numFmtId="0" fontId="13" fillId="0" borderId="0" xfId="1" applyFont="1" applyFill="1" applyBorder="1" applyAlignment="1">
      <alignment vertical="center" wrapText="1" shrinkToFit="1"/>
    </xf>
    <xf numFmtId="0" fontId="9" fillId="0" borderId="0" xfId="1" applyFont="1" applyBorder="1" applyAlignment="1">
      <alignment vertical="center" wrapText="1" shrinkToFit="1"/>
    </xf>
    <xf numFmtId="0" fontId="10" fillId="0" borderId="0" xfId="1" applyFont="1" applyBorder="1" applyAlignment="1">
      <alignment horizontal="center" vertical="center"/>
    </xf>
    <xf numFmtId="0" fontId="15" fillId="0" borderId="0" xfId="1" applyFont="1" applyBorder="1" applyAlignment="1">
      <alignment horizontal="center" vertical="center"/>
    </xf>
    <xf numFmtId="0" fontId="13" fillId="0" borderId="0" xfId="1" applyFont="1" applyBorder="1" applyAlignment="1"/>
    <xf numFmtId="0" fontId="13" fillId="0" borderId="0" xfId="1" applyFont="1" applyFill="1" applyBorder="1" applyAlignment="1">
      <alignment vertical="center" shrinkToFit="1"/>
    </xf>
    <xf numFmtId="0" fontId="9" fillId="0" borderId="0" xfId="1" applyFont="1" applyBorder="1" applyAlignment="1">
      <alignment shrinkToFit="1"/>
    </xf>
    <xf numFmtId="0" fontId="13" fillId="0" borderId="0" xfId="1" applyFont="1" applyFill="1" applyBorder="1" applyAlignment="1">
      <alignment horizontal="left" vertical="center" shrinkToFit="1"/>
    </xf>
    <xf numFmtId="0" fontId="13" fillId="0" borderId="14" xfId="1" applyFont="1" applyFill="1" applyBorder="1" applyAlignment="1">
      <alignment horizontal="left" vertical="center" shrinkToFit="1"/>
    </xf>
    <xf numFmtId="0" fontId="13" fillId="0" borderId="0" xfId="1" applyFont="1" applyBorder="1" applyAlignment="1">
      <alignment vertical="center" shrinkToFit="1"/>
    </xf>
    <xf numFmtId="0" fontId="9" fillId="0" borderId="0" xfId="1" applyFont="1" applyBorder="1" applyAlignment="1">
      <alignment vertical="center" shrinkToFit="1"/>
    </xf>
    <xf numFmtId="0" fontId="10" fillId="0" borderId="0" xfId="6" applyFont="1" applyAlignment="1">
      <alignment horizontal="left" vertical="center"/>
    </xf>
    <xf numFmtId="0" fontId="7" fillId="0" borderId="0" xfId="1" applyFont="1" applyFill="1" applyBorder="1" applyAlignment="1">
      <alignment horizontal="left" vertical="center"/>
    </xf>
    <xf numFmtId="0" fontId="5" fillId="0" borderId="0" xfId="1" applyFont="1" applyAlignment="1">
      <alignment horizontal="left" vertical="center" shrinkToFit="1"/>
    </xf>
    <xf numFmtId="0" fontId="4" fillId="0" borderId="0" xfId="9" applyFont="1" applyAlignment="1">
      <alignment horizontal="left" vertical="center"/>
    </xf>
    <xf numFmtId="0" fontId="5" fillId="0" borderId="0" xfId="6" applyFont="1" applyAlignment="1">
      <alignment horizontal="left"/>
    </xf>
    <xf numFmtId="0" fontId="4" fillId="0" borderId="0" xfId="9" applyFont="1" applyAlignment="1">
      <alignment vertical="center"/>
    </xf>
    <xf numFmtId="0" fontId="2" fillId="0" borderId="0" xfId="5" applyFont="1" applyFill="1" applyAlignment="1">
      <alignment horizontal="left" vertical="top"/>
    </xf>
    <xf numFmtId="0" fontId="13" fillId="0" borderId="3" xfId="5" applyFont="1" applyBorder="1" applyAlignment="1">
      <alignment horizontal="center" vertical="center" wrapText="1"/>
    </xf>
    <xf numFmtId="0" fontId="13" fillId="0" borderId="4" xfId="5" applyFont="1" applyBorder="1" applyAlignment="1">
      <alignment horizontal="center" vertical="center" wrapText="1"/>
    </xf>
    <xf numFmtId="0" fontId="13" fillId="0" borderId="1" xfId="5" applyFont="1" applyBorder="1" applyAlignment="1">
      <alignment horizontal="center" vertical="center" wrapText="1"/>
    </xf>
    <xf numFmtId="0" fontId="13" fillId="0" borderId="0" xfId="2" applyFont="1" applyBorder="1" applyAlignment="1">
      <alignment horizontal="center" vertical="center"/>
    </xf>
    <xf numFmtId="0" fontId="13" fillId="0" borderId="14" xfId="2" applyFont="1" applyBorder="1" applyAlignment="1">
      <alignment horizontal="center" vertical="center"/>
    </xf>
    <xf numFmtId="178" fontId="12" fillId="0" borderId="3" xfId="2" applyNumberFormat="1" applyFont="1" applyBorder="1" applyAlignment="1">
      <alignment horizontal="center" vertical="center" wrapText="1"/>
    </xf>
    <xf numFmtId="178" fontId="17" fillId="0" borderId="1" xfId="2" applyNumberFormat="1" applyFont="1" applyBorder="1" applyAlignment="1">
      <alignment horizontal="center" vertical="center"/>
    </xf>
    <xf numFmtId="0" fontId="18" fillId="0" borderId="0" xfId="5" applyFont="1" applyAlignment="1">
      <alignment shrinkToFit="1"/>
    </xf>
    <xf numFmtId="0" fontId="18" fillId="0" borderId="17" xfId="5" applyFont="1" applyBorder="1" applyAlignment="1">
      <alignment shrinkToFit="1"/>
    </xf>
    <xf numFmtId="0" fontId="15" fillId="0" borderId="0" xfId="5" applyFont="1" applyAlignment="1"/>
    <xf numFmtId="0" fontId="10" fillId="0" borderId="0" xfId="5" applyFont="1" applyBorder="1" applyAlignment="1">
      <alignment horizontal="center" vertical="center"/>
    </xf>
    <xf numFmtId="0" fontId="15" fillId="0" borderId="0" xfId="5" applyFont="1" applyBorder="1" applyAlignment="1">
      <alignment horizontal="center" vertical="center"/>
    </xf>
    <xf numFmtId="0" fontId="13" fillId="0" borderId="0" xfId="5" applyFont="1" applyBorder="1" applyAlignment="1"/>
    <xf numFmtId="0" fontId="13" fillId="0" borderId="0" xfId="5" applyFont="1" applyFill="1" applyBorder="1" applyAlignment="1">
      <alignment horizontal="left" vertical="center" wrapText="1"/>
    </xf>
    <xf numFmtId="0" fontId="13" fillId="0" borderId="0" xfId="5" applyFont="1" applyFill="1" applyBorder="1" applyAlignment="1">
      <alignment vertical="center" shrinkToFit="1"/>
    </xf>
    <xf numFmtId="0" fontId="13" fillId="0" borderId="0" xfId="2" applyFont="1" applyBorder="1" applyAlignment="1">
      <alignment shrinkToFit="1"/>
    </xf>
    <xf numFmtId="0" fontId="13" fillId="0" borderId="0" xfId="5" applyFont="1" applyFill="1" applyBorder="1" applyAlignment="1">
      <alignment horizontal="left" vertical="center" shrinkToFit="1"/>
    </xf>
    <xf numFmtId="0" fontId="13" fillId="0" borderId="14" xfId="5" applyFont="1" applyFill="1" applyBorder="1" applyAlignment="1">
      <alignment horizontal="left" vertical="center" shrinkToFit="1"/>
    </xf>
    <xf numFmtId="0" fontId="13" fillId="0" borderId="0" xfId="5" applyFont="1" applyFill="1" applyBorder="1" applyAlignment="1">
      <alignment horizontal="left" vertical="center" wrapText="1" shrinkToFit="1"/>
    </xf>
    <xf numFmtId="0" fontId="13" fillId="0" borderId="0" xfId="2" applyFont="1" applyBorder="1" applyAlignment="1">
      <alignment horizontal="left" vertical="center" wrapText="1" shrinkToFit="1"/>
    </xf>
    <xf numFmtId="0" fontId="13" fillId="0" borderId="0" xfId="2" applyFont="1" applyBorder="1" applyAlignment="1">
      <alignment horizontal="left" vertical="center" shrinkToFit="1"/>
    </xf>
    <xf numFmtId="0" fontId="10" fillId="0" borderId="0" xfId="5" applyFont="1" applyAlignment="1">
      <alignment shrinkToFit="1"/>
    </xf>
    <xf numFmtId="0" fontId="10" fillId="0" borderId="0" xfId="2" applyFont="1" applyAlignment="1">
      <alignment shrinkToFit="1"/>
    </xf>
    <xf numFmtId="0" fontId="7" fillId="0" borderId="0" xfId="5" applyFont="1" applyAlignment="1"/>
    <xf numFmtId="0" fontId="7" fillId="0" borderId="0" xfId="2" applyFont="1" applyAlignment="1"/>
    <xf numFmtId="0" fontId="10" fillId="0" borderId="0" xfId="5" applyFont="1" applyAlignment="1">
      <alignment vertical="center"/>
    </xf>
    <xf numFmtId="0" fontId="10" fillId="0" borderId="0" xfId="4" applyFont="1" applyAlignment="1">
      <alignment vertical="center"/>
    </xf>
    <xf numFmtId="0" fontId="17" fillId="0" borderId="0" xfId="9" applyFont="1" applyAlignment="1"/>
    <xf numFmtId="0" fontId="17" fillId="0" borderId="0" xfId="9" applyFont="1" applyAlignment="1">
      <alignment horizontal="left" vertical="center"/>
    </xf>
    <xf numFmtId="0" fontId="10" fillId="0" borderId="0" xfId="5" applyFont="1" applyAlignment="1">
      <alignment vertical="center" shrinkToFit="1"/>
    </xf>
    <xf numFmtId="0" fontId="10" fillId="0" borderId="0" xfId="2" applyFont="1" applyAlignment="1">
      <alignment vertical="center" shrinkToFit="1"/>
    </xf>
    <xf numFmtId="0" fontId="13" fillId="0" borderId="0" xfId="7" applyFont="1" applyFill="1" applyAlignment="1">
      <alignment vertical="center"/>
    </xf>
    <xf numFmtId="0" fontId="13" fillId="0" borderId="18" xfId="5" applyFont="1" applyBorder="1" applyAlignment="1">
      <alignment horizontal="center"/>
    </xf>
    <xf numFmtId="0" fontId="9" fillId="0" borderId="18" xfId="3" applyFont="1" applyBorder="1" applyAlignment="1">
      <alignment horizontal="center"/>
    </xf>
    <xf numFmtId="0" fontId="13" fillId="0" borderId="0" xfId="7" applyFont="1" applyFill="1" applyAlignment="1">
      <alignment horizontal="center"/>
    </xf>
    <xf numFmtId="0" fontId="21" fillId="0" borderId="0" xfId="5" applyFont="1" applyAlignment="1">
      <alignment vertical="center"/>
    </xf>
    <xf numFmtId="0" fontId="13" fillId="0" borderId="0" xfId="5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0" xfId="3" applyFont="1" applyAlignment="1"/>
    <xf numFmtId="0" fontId="13" fillId="0" borderId="12" xfId="5" applyFont="1" applyBorder="1" applyAlignment="1">
      <alignment horizontal="center"/>
    </xf>
    <xf numFmtId="0" fontId="9" fillId="0" borderId="12" xfId="3" applyFont="1" applyBorder="1" applyAlignment="1">
      <alignment horizontal="center"/>
    </xf>
    <xf numFmtId="0" fontId="11" fillId="0" borderId="0" xfId="3" applyFont="1" applyAlignment="1">
      <alignment vertical="center"/>
    </xf>
    <xf numFmtId="0" fontId="13" fillId="0" borderId="12" xfId="7" applyFont="1" applyFill="1" applyBorder="1" applyAlignment="1">
      <alignment horizontal="center"/>
    </xf>
    <xf numFmtId="0" fontId="20" fillId="0" borderId="0" xfId="5" applyFont="1" applyAlignment="1">
      <alignment horizontal="left" vertical="top"/>
    </xf>
    <xf numFmtId="0" fontId="13" fillId="0" borderId="19" xfId="5" applyFont="1" applyBorder="1" applyAlignment="1">
      <alignment horizontal="center" vertical="center" wrapText="1"/>
    </xf>
    <xf numFmtId="0" fontId="13" fillId="0" borderId="18" xfId="5" applyFont="1" applyBorder="1" applyAlignment="1">
      <alignment horizontal="center" vertical="center" wrapText="1"/>
    </xf>
    <xf numFmtId="0" fontId="13" fillId="0" borderId="22" xfId="5" applyFont="1" applyBorder="1" applyAlignment="1">
      <alignment horizontal="center" vertical="center" wrapText="1"/>
    </xf>
    <xf numFmtId="0" fontId="13" fillId="0" borderId="21" xfId="5" applyFont="1" applyBorder="1" applyAlignment="1">
      <alignment horizontal="center" vertical="center" wrapText="1"/>
    </xf>
    <xf numFmtId="0" fontId="13" fillId="0" borderId="0" xfId="5" applyFont="1" applyBorder="1" applyAlignment="1">
      <alignment horizontal="center" vertical="center" wrapText="1"/>
    </xf>
    <xf numFmtId="0" fontId="13" fillId="0" borderId="26" xfId="5" applyFont="1" applyBorder="1" applyAlignment="1">
      <alignment horizontal="center" vertical="center" wrapText="1"/>
    </xf>
    <xf numFmtId="0" fontId="13" fillId="0" borderId="23" xfId="5" applyFont="1" applyBorder="1" applyAlignment="1">
      <alignment horizontal="center" vertical="center" wrapText="1"/>
    </xf>
    <xf numFmtId="0" fontId="13" fillId="0" borderId="12" xfId="5" applyFont="1" applyBorder="1" applyAlignment="1">
      <alignment horizontal="center" vertical="center" wrapText="1"/>
    </xf>
    <xf numFmtId="0" fontId="13" fillId="0" borderId="27" xfId="5" applyFont="1" applyBorder="1" applyAlignment="1">
      <alignment horizontal="center" vertical="center" wrapText="1"/>
    </xf>
    <xf numFmtId="0" fontId="13" fillId="0" borderId="0" xfId="3" applyFont="1" applyBorder="1" applyAlignment="1">
      <alignment horizontal="center" vertical="center"/>
    </xf>
    <xf numFmtId="0" fontId="13" fillId="0" borderId="12" xfId="3" applyFont="1" applyBorder="1" applyAlignment="1">
      <alignment horizontal="center" vertical="center"/>
    </xf>
    <xf numFmtId="0" fontId="13" fillId="0" borderId="29" xfId="5" applyFont="1" applyFill="1" applyBorder="1" applyAlignment="1">
      <alignment horizontal="center" vertical="center"/>
    </xf>
    <xf numFmtId="0" fontId="13" fillId="0" borderId="28" xfId="3" applyFont="1" applyBorder="1" applyAlignment="1">
      <alignment vertical="center"/>
    </xf>
    <xf numFmtId="0" fontId="13" fillId="0" borderId="29" xfId="3" applyFont="1" applyBorder="1" applyAlignment="1">
      <alignment horizontal="center" vertical="center"/>
    </xf>
    <xf numFmtId="0" fontId="13" fillId="0" borderId="28" xfId="3" applyFont="1" applyBorder="1" applyAlignment="1">
      <alignment horizontal="center" vertical="center"/>
    </xf>
    <xf numFmtId="0" fontId="13" fillId="0" borderId="31" xfId="5" applyFont="1" applyBorder="1" applyAlignment="1">
      <alignment horizontal="left" vertical="center" wrapText="1"/>
    </xf>
    <xf numFmtId="0" fontId="13" fillId="0" borderId="18" xfId="5" applyFont="1" applyBorder="1" applyAlignment="1">
      <alignment horizontal="left" vertical="center" wrapText="1"/>
    </xf>
    <xf numFmtId="0" fontId="13" fillId="0" borderId="0" xfId="3" applyFont="1" applyBorder="1" applyAlignment="1">
      <alignment vertical="center"/>
    </xf>
    <xf numFmtId="0" fontId="13" fillId="0" borderId="12" xfId="3" applyFont="1" applyBorder="1" applyAlignment="1">
      <alignment vertical="center"/>
    </xf>
    <xf numFmtId="0" fontId="13" fillId="0" borderId="0" xfId="7" applyFont="1" applyFill="1" applyBorder="1" applyAlignment="1">
      <alignment horizontal="center"/>
    </xf>
    <xf numFmtId="0" fontId="13" fillId="0" borderId="0" xfId="5" applyFont="1" applyAlignment="1"/>
    <xf numFmtId="0" fontId="11" fillId="0" borderId="0" xfId="4" applyFont="1" applyAlignment="1"/>
    <xf numFmtId="0" fontId="13" fillId="0" borderId="0" xfId="1" applyFont="1" applyAlignment="1">
      <alignment horizontal="left" vertical="center" shrinkToFit="1"/>
    </xf>
    <xf numFmtId="0" fontId="11" fillId="0" borderId="0" xfId="9" applyFont="1" applyAlignment="1">
      <alignment horizontal="left" vertical="center"/>
    </xf>
    <xf numFmtId="0" fontId="11" fillId="0" borderId="0" xfId="9" applyFont="1" applyAlignment="1">
      <alignment vertical="center"/>
    </xf>
    <xf numFmtId="0" fontId="13" fillId="0" borderId="0" xfId="6" applyFont="1" applyAlignment="1">
      <alignment horizontal="left"/>
    </xf>
  </cellXfs>
  <cellStyles count="10">
    <cellStyle name="Normal" xfId="0" builtinId="0"/>
    <cellStyle name="標準_A30101" xfId="1" xr:uid="{739545DD-198C-40FA-B5DB-B7EC0315344B}"/>
    <cellStyle name="標準_A30201" xfId="2" xr:uid="{F295A0E6-3155-4E90-9724-5CAD33815B7A}"/>
    <cellStyle name="標準_A30301" xfId="3" xr:uid="{C2313D7F-DA13-4293-9FBF-D2BA6FD946E1}"/>
    <cellStyle name="標準_h19e" xfId="4" xr:uid="{2911A2AE-DF87-47F3-9CA5-81EBD5515B6F}"/>
    <cellStyle name="標準_報道発表資料（英語版）" xfId="9" xr:uid="{1DBEF9FA-71F9-471A-ABE9-A1C8B6386AE7}"/>
    <cellStyle name="標準_帳票レイアウト(季報新聞発表用_英語)" xfId="6" xr:uid="{029A6104-EF62-4F85-A445-F446AB4D709B}"/>
    <cellStyle name="標準_帳票レイアウト(年報新聞発表用_日本語)" xfId="8" xr:uid="{0070293C-FBB7-4C6F-85E5-60C6A5C7660E}"/>
    <cellStyle name="標準_帳票レイアウト(年報新聞発表用_英語)" xfId="7" xr:uid="{A3A39D58-81F0-4F86-BD92-DE6BA79ED46E}"/>
    <cellStyle name="標準_経常利益、設備投資、自己資本比率" xfId="5" xr:uid="{F4552EB5-04B8-4A87-8DFC-C34201F9F3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1162050</xdr:colOff>
          <xdr:row>20</xdr:row>
          <xdr:rowOff>266700</xdr:rowOff>
        </xdr:from>
        <xdr:to>
          <xdr:col>20</xdr:col>
          <xdr:colOff>234950</xdr:colOff>
          <xdr:row>22</xdr:row>
          <xdr:rowOff>165100</xdr:rowOff>
        </xdr:to>
        <xdr:pic>
          <xdr:nvPicPr>
            <xdr:cNvPr id="1025" name="Picture 1">
              <a:extLst>
                <a:ext uri="{FF2B5EF4-FFF2-40B4-BE49-F238E27FC236}">
                  <a16:creationId xmlns:a16="http://schemas.microsoft.com/office/drawing/2014/main" id="{C3BF436F-80D4-4C32-3CA5-9040D1C17CF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S$33:$U$34" spid="_x0000_s102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765300" y="5848350"/>
              <a:ext cx="3079750" cy="35560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D3D59-0946-4110-BC15-1B17D1A7BCA5}">
  <sheetPr>
    <pageSetUpPr fitToPage="1"/>
  </sheetPr>
  <dimension ref="A1:K66"/>
  <sheetViews>
    <sheetView tabSelected="1" view="pageBreakPreview" zoomScale="75" zoomScaleNormal="75" zoomScaleSheetLayoutView="75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7.6328125" style="2" customWidth="1"/>
    <col min="4" max="4" width="1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A1" s="1" t="s">
        <v>0</v>
      </c>
    </row>
    <row r="2" spans="1:11" ht="19">
      <c r="D2" s="1" t="s">
        <v>1</v>
      </c>
    </row>
    <row r="3" spans="1:11" ht="11.5" thickBot="1">
      <c r="K3" s="3" t="s">
        <v>2</v>
      </c>
    </row>
    <row r="4" spans="1:11" ht="12" customHeight="1" thickBot="1">
      <c r="A4" s="267" t="s">
        <v>3</v>
      </c>
      <c r="B4" s="261" t="s">
        <v>262</v>
      </c>
      <c r="C4" s="262"/>
      <c r="D4" s="261" t="s">
        <v>264</v>
      </c>
      <c r="E4" s="262"/>
      <c r="F4" s="261" t="s">
        <v>266</v>
      </c>
      <c r="G4" s="262"/>
      <c r="H4" s="261" t="s">
        <v>268</v>
      </c>
      <c r="I4" s="262"/>
      <c r="J4" s="263" t="s">
        <v>270</v>
      </c>
      <c r="K4" s="264"/>
    </row>
    <row r="5" spans="1:11" ht="25" customHeight="1" thickBot="1">
      <c r="A5" s="268"/>
      <c r="B5" s="4"/>
      <c r="C5" s="73" t="s">
        <v>4</v>
      </c>
      <c r="D5" s="4"/>
      <c r="E5" s="73" t="s">
        <v>4</v>
      </c>
      <c r="F5" s="4"/>
      <c r="G5" s="73" t="s">
        <v>4</v>
      </c>
      <c r="H5" s="4"/>
      <c r="I5" s="73" t="s">
        <v>4</v>
      </c>
      <c r="J5" s="4"/>
      <c r="K5" s="73" t="s">
        <v>4</v>
      </c>
    </row>
    <row r="6" spans="1:11" ht="12" customHeight="1">
      <c r="A6" s="265" t="s">
        <v>5</v>
      </c>
      <c r="B6" s="6"/>
      <c r="C6" s="74"/>
      <c r="D6" s="6"/>
      <c r="E6" s="74"/>
      <c r="F6" s="6"/>
      <c r="G6" s="74"/>
      <c r="H6" s="6"/>
      <c r="I6" s="74"/>
      <c r="J6" s="6"/>
      <c r="K6" s="74"/>
    </row>
    <row r="7" spans="1:11" ht="12" customHeight="1">
      <c r="A7" s="266"/>
      <c r="B7" s="49">
        <v>14203558.76</v>
      </c>
      <c r="C7" s="75">
        <v>6.4197129999999998</v>
      </c>
      <c r="D7" s="49">
        <v>15081206.9</v>
      </c>
      <c r="E7" s="75">
        <v>6.1790719999999997</v>
      </c>
      <c r="F7" s="49">
        <v>15664328.5</v>
      </c>
      <c r="G7" s="75">
        <v>3.8665449999999999</v>
      </c>
      <c r="H7" s="49">
        <v>15801713.369999999</v>
      </c>
      <c r="I7" s="75">
        <v>0.87705599999999995</v>
      </c>
      <c r="J7" s="49">
        <v>15082071.825069999</v>
      </c>
      <c r="K7" s="75">
        <v>-4.5541989999999997</v>
      </c>
    </row>
    <row r="8" spans="1:11" ht="12" customHeight="1">
      <c r="A8" s="266" t="s">
        <v>6</v>
      </c>
      <c r="B8" s="49"/>
      <c r="C8" s="75"/>
      <c r="D8" s="49"/>
      <c r="E8" s="75"/>
      <c r="F8" s="49"/>
      <c r="G8" s="75"/>
      <c r="H8" s="49"/>
      <c r="I8" s="75"/>
      <c r="J8" s="27" t="s">
        <v>281</v>
      </c>
      <c r="K8" s="68" t="s">
        <v>358</v>
      </c>
    </row>
    <row r="9" spans="1:11" ht="12" customHeight="1">
      <c r="A9" s="266"/>
      <c r="B9" s="49">
        <v>4096885.33</v>
      </c>
      <c r="C9" s="75">
        <v>6.4264640000000002</v>
      </c>
      <c r="D9" s="49">
        <v>4349949.37</v>
      </c>
      <c r="E9" s="75">
        <v>6.1769860000000003</v>
      </c>
      <c r="F9" s="49">
        <v>4503358.04</v>
      </c>
      <c r="G9" s="75">
        <v>3.5266769999999998</v>
      </c>
      <c r="H9" s="49">
        <v>4717090.99</v>
      </c>
      <c r="I9" s="75">
        <v>4.7460789999999999</v>
      </c>
      <c r="J9" s="49">
        <v>4450525.68</v>
      </c>
      <c r="K9" s="75">
        <v>-5.6510530000000001</v>
      </c>
    </row>
    <row r="10" spans="1:11" ht="12" customHeight="1">
      <c r="A10" s="266" t="s">
        <v>7</v>
      </c>
      <c r="B10" s="49"/>
      <c r="C10" s="75"/>
      <c r="D10" s="49"/>
      <c r="E10" s="75"/>
      <c r="F10" s="49"/>
      <c r="G10" s="75"/>
      <c r="H10" s="49"/>
      <c r="I10" s="75"/>
      <c r="J10" s="49"/>
      <c r="K10" s="75"/>
    </row>
    <row r="11" spans="1:11" ht="12" customHeight="1">
      <c r="A11" s="266"/>
      <c r="B11" s="49">
        <v>449955.34</v>
      </c>
      <c r="C11" s="75">
        <v>7.5937929999999998</v>
      </c>
      <c r="D11" s="49">
        <v>439495.83</v>
      </c>
      <c r="E11" s="75">
        <v>-2.3245659999999999</v>
      </c>
      <c r="F11" s="49">
        <v>470088.8</v>
      </c>
      <c r="G11" s="75">
        <v>6.9609240000000003</v>
      </c>
      <c r="H11" s="49">
        <v>447780.24</v>
      </c>
      <c r="I11" s="75">
        <v>-4.7456060000000004</v>
      </c>
      <c r="J11" s="49">
        <v>513002.46</v>
      </c>
      <c r="K11" s="75">
        <v>14.565676</v>
      </c>
    </row>
    <row r="12" spans="1:11" ht="12" customHeight="1">
      <c r="A12" s="266" t="s">
        <v>8</v>
      </c>
      <c r="B12" s="49"/>
      <c r="C12" s="75"/>
      <c r="D12" s="49"/>
      <c r="E12" s="75"/>
      <c r="F12" s="49"/>
      <c r="G12" s="75"/>
      <c r="H12" s="49"/>
      <c r="I12" s="75"/>
      <c r="J12" s="49"/>
      <c r="K12" s="75"/>
    </row>
    <row r="13" spans="1:11" ht="12" customHeight="1">
      <c r="A13" s="266"/>
      <c r="B13" s="49">
        <v>359900.6</v>
      </c>
      <c r="C13" s="75">
        <v>-4.0726000000000004</v>
      </c>
      <c r="D13" s="49">
        <v>413335.61</v>
      </c>
      <c r="E13" s="75">
        <v>14.847158</v>
      </c>
      <c r="F13" s="49">
        <v>401953.91</v>
      </c>
      <c r="G13" s="75">
        <v>-2.753622</v>
      </c>
      <c r="H13" s="49">
        <v>422246.74</v>
      </c>
      <c r="I13" s="75">
        <v>5.048546</v>
      </c>
      <c r="J13" s="49">
        <v>405947.44</v>
      </c>
      <c r="K13" s="75">
        <v>-3.8601359999999998</v>
      </c>
    </row>
    <row r="14" spans="1:11" s="76" customFormat="1" ht="12" customHeight="1">
      <c r="A14" s="269" t="s">
        <v>9</v>
      </c>
      <c r="B14" s="49"/>
      <c r="C14" s="75"/>
      <c r="D14" s="49"/>
      <c r="E14" s="75"/>
      <c r="F14" s="49"/>
      <c r="G14" s="75"/>
      <c r="H14" s="49"/>
      <c r="I14" s="75"/>
      <c r="J14" s="49"/>
      <c r="K14" s="75"/>
    </row>
    <row r="15" spans="1:11" s="76" customFormat="1" ht="12" customHeight="1">
      <c r="A15" s="269"/>
      <c r="B15" s="49">
        <v>161921.74</v>
      </c>
      <c r="C15" s="75">
        <v>10.69797</v>
      </c>
      <c r="D15" s="49">
        <v>200810.52</v>
      </c>
      <c r="E15" s="75">
        <v>24.017022000000001</v>
      </c>
      <c r="F15" s="49">
        <v>193327.86</v>
      </c>
      <c r="G15" s="75">
        <v>-3.726229</v>
      </c>
      <c r="H15" s="49">
        <v>214136.65</v>
      </c>
      <c r="I15" s="75">
        <v>10.763472</v>
      </c>
      <c r="J15" s="49">
        <v>207638.92</v>
      </c>
      <c r="K15" s="75">
        <v>-3.0343849999999999</v>
      </c>
    </row>
    <row r="16" spans="1:11" s="76" customFormat="1" ht="12" customHeight="1">
      <c r="A16" s="269" t="s">
        <v>10</v>
      </c>
      <c r="B16" s="49"/>
      <c r="C16" s="75"/>
      <c r="D16" s="49"/>
      <c r="E16" s="75"/>
      <c r="F16" s="49"/>
      <c r="G16" s="75"/>
      <c r="H16" s="49"/>
      <c r="I16" s="75"/>
      <c r="J16" s="49"/>
      <c r="K16" s="75"/>
    </row>
    <row r="17" spans="1:11" s="76" customFormat="1" ht="12" customHeight="1">
      <c r="A17" s="269"/>
      <c r="B17" s="49">
        <v>156049.03</v>
      </c>
      <c r="C17" s="75">
        <v>20.640650000000001</v>
      </c>
      <c r="D17" s="49">
        <v>184094.51</v>
      </c>
      <c r="E17" s="75">
        <v>17.972223</v>
      </c>
      <c r="F17" s="49">
        <v>198639.7</v>
      </c>
      <c r="G17" s="75">
        <v>7.9009359999999997</v>
      </c>
      <c r="H17" s="49">
        <v>219097.22</v>
      </c>
      <c r="I17" s="75">
        <v>10.298807</v>
      </c>
      <c r="J17" s="49">
        <v>225247.85</v>
      </c>
      <c r="K17" s="75">
        <v>2.807261</v>
      </c>
    </row>
    <row r="18" spans="1:11" ht="12" customHeight="1">
      <c r="A18" s="266" t="s">
        <v>11</v>
      </c>
      <c r="B18" s="49"/>
      <c r="C18" s="75"/>
      <c r="D18" s="49"/>
      <c r="E18" s="75"/>
      <c r="F18" s="49"/>
      <c r="G18" s="75"/>
      <c r="H18" s="49"/>
      <c r="I18" s="75"/>
      <c r="J18" s="49"/>
      <c r="K18" s="75"/>
    </row>
    <row r="19" spans="1:11" ht="12" customHeight="1">
      <c r="A19" s="266"/>
      <c r="B19" s="49">
        <v>198490.67</v>
      </c>
      <c r="C19" s="75">
        <v>23.547236999999999</v>
      </c>
      <c r="D19" s="49">
        <v>200565.46</v>
      </c>
      <c r="E19" s="75">
        <v>1.045283</v>
      </c>
      <c r="F19" s="49">
        <v>192394.07</v>
      </c>
      <c r="G19" s="75">
        <v>-4.0741759999999996</v>
      </c>
      <c r="H19" s="49">
        <v>233498.79</v>
      </c>
      <c r="I19" s="75">
        <v>21.364858000000002</v>
      </c>
      <c r="J19" s="49">
        <v>221707.45</v>
      </c>
      <c r="K19" s="75">
        <v>-5.0498510000000003</v>
      </c>
    </row>
    <row r="20" spans="1:11" ht="12" customHeight="1">
      <c r="A20" s="266" t="s">
        <v>12</v>
      </c>
      <c r="B20" s="49"/>
      <c r="C20" s="75"/>
      <c r="D20" s="49"/>
      <c r="E20" s="75"/>
      <c r="F20" s="49"/>
      <c r="G20" s="75"/>
      <c r="H20" s="49"/>
      <c r="I20" s="75"/>
      <c r="J20" s="49"/>
      <c r="K20" s="75"/>
    </row>
    <row r="21" spans="1:11" ht="12" customHeight="1">
      <c r="A21" s="266"/>
      <c r="B21" s="49">
        <v>322410.37</v>
      </c>
      <c r="C21" s="75">
        <v>6.3585029999999998</v>
      </c>
      <c r="D21" s="49">
        <v>354555.84</v>
      </c>
      <c r="E21" s="75">
        <v>9.9703590000000002</v>
      </c>
      <c r="F21" s="49">
        <v>370382.98</v>
      </c>
      <c r="G21" s="75">
        <v>4.4639340000000001</v>
      </c>
      <c r="H21" s="49">
        <v>399990.88</v>
      </c>
      <c r="I21" s="75">
        <v>7.9938609999999999</v>
      </c>
      <c r="J21" s="49">
        <v>375735.46</v>
      </c>
      <c r="K21" s="75">
        <v>-6.063993</v>
      </c>
    </row>
    <row r="22" spans="1:11" ht="12" customHeight="1">
      <c r="A22" s="266" t="s">
        <v>153</v>
      </c>
      <c r="B22" s="49"/>
      <c r="C22" s="75"/>
      <c r="D22" s="49"/>
      <c r="E22" s="75"/>
      <c r="F22" s="49"/>
      <c r="G22" s="75"/>
      <c r="H22" s="49"/>
      <c r="I22" s="75"/>
      <c r="J22" s="49"/>
      <c r="K22" s="75"/>
    </row>
    <row r="23" spans="1:11" ht="12" customHeight="1">
      <c r="A23" s="266"/>
      <c r="B23" s="49">
        <v>468263.22</v>
      </c>
      <c r="C23" s="75"/>
      <c r="D23" s="49">
        <v>447772.71</v>
      </c>
      <c r="E23" s="75">
        <v>-4.3758530000000002</v>
      </c>
      <c r="F23" s="49">
        <v>477757.98</v>
      </c>
      <c r="G23" s="75">
        <v>6.6965380000000003</v>
      </c>
      <c r="H23" s="49">
        <v>493708.83</v>
      </c>
      <c r="I23" s="75">
        <v>3.3386879999999999</v>
      </c>
      <c r="J23" s="49">
        <v>408001.76</v>
      </c>
      <c r="K23" s="75">
        <v>-17.359840999999999</v>
      </c>
    </row>
    <row r="24" spans="1:11" ht="12" customHeight="1">
      <c r="A24" s="266" t="s">
        <v>154</v>
      </c>
      <c r="B24" s="49"/>
      <c r="C24" s="75"/>
      <c r="D24" s="49"/>
      <c r="E24" s="75"/>
      <c r="F24" s="49"/>
      <c r="G24" s="75"/>
      <c r="H24" s="49"/>
      <c r="I24" s="75"/>
      <c r="J24" s="49"/>
      <c r="K24" s="75"/>
    </row>
    <row r="25" spans="1:11" ht="12" customHeight="1">
      <c r="A25" s="266"/>
      <c r="B25" s="49">
        <v>347226.48</v>
      </c>
      <c r="C25" s="75"/>
      <c r="D25" s="49">
        <v>333279.15999999997</v>
      </c>
      <c r="E25" s="75">
        <v>-4.0167789999999997</v>
      </c>
      <c r="F25" s="49">
        <v>357948.97</v>
      </c>
      <c r="G25" s="75">
        <v>7.4021460000000001</v>
      </c>
      <c r="H25" s="49">
        <v>357684.5</v>
      </c>
      <c r="I25" s="75">
        <v>-7.3885000000000006E-2</v>
      </c>
      <c r="J25" s="49">
        <v>343995.21</v>
      </c>
      <c r="K25" s="75">
        <v>-3.827197</v>
      </c>
    </row>
    <row r="26" spans="1:11" ht="12" customHeight="1">
      <c r="A26" s="270" t="s">
        <v>172</v>
      </c>
      <c r="B26" s="49"/>
      <c r="C26" s="75"/>
      <c r="D26" s="49"/>
      <c r="E26" s="75"/>
      <c r="F26" s="49"/>
      <c r="G26" s="75"/>
      <c r="H26" s="49"/>
      <c r="I26" s="75"/>
      <c r="J26" s="49"/>
      <c r="K26" s="75"/>
    </row>
    <row r="27" spans="1:11" ht="12" customHeight="1">
      <c r="A27" s="270"/>
      <c r="B27" s="27" t="s">
        <v>155</v>
      </c>
      <c r="C27" s="68" t="s">
        <v>156</v>
      </c>
      <c r="D27" s="27" t="s">
        <v>157</v>
      </c>
      <c r="E27" s="68" t="s">
        <v>162</v>
      </c>
      <c r="F27" s="27" t="s">
        <v>158</v>
      </c>
      <c r="G27" s="27" t="s">
        <v>159</v>
      </c>
      <c r="H27" s="27" t="s">
        <v>160</v>
      </c>
      <c r="I27" s="27" t="s">
        <v>161</v>
      </c>
      <c r="J27" s="27" t="s">
        <v>446</v>
      </c>
      <c r="K27" s="27" t="s">
        <v>447</v>
      </c>
    </row>
    <row r="28" spans="1:11" ht="12" customHeight="1">
      <c r="A28" s="266" t="s">
        <v>13</v>
      </c>
      <c r="B28" s="49"/>
      <c r="C28" s="75"/>
      <c r="D28" s="49"/>
      <c r="E28" s="75"/>
      <c r="F28" s="49"/>
      <c r="G28" s="75"/>
      <c r="H28" s="49"/>
      <c r="I28" s="75"/>
      <c r="J28" s="49"/>
      <c r="K28" s="75"/>
    </row>
    <row r="29" spans="1:11" ht="12" customHeight="1">
      <c r="A29" s="266"/>
      <c r="B29" s="49">
        <v>585496.78</v>
      </c>
      <c r="C29" s="75">
        <v>-1</v>
      </c>
      <c r="D29" s="49">
        <v>614598.99</v>
      </c>
      <c r="E29" s="75">
        <v>4.9705159999999999</v>
      </c>
      <c r="F29" s="49">
        <v>697662.25</v>
      </c>
      <c r="G29" s="75">
        <v>13.515034</v>
      </c>
      <c r="H29" s="49">
        <v>741550.12</v>
      </c>
      <c r="I29" s="75">
        <v>6.2907039999999999</v>
      </c>
      <c r="J29" s="49">
        <v>637743.31000000006</v>
      </c>
      <c r="K29" s="75">
        <v>-13.998624</v>
      </c>
    </row>
    <row r="30" spans="1:11" ht="12" customHeight="1">
      <c r="A30" s="266" t="s">
        <v>14</v>
      </c>
      <c r="B30" s="49"/>
      <c r="C30" s="75"/>
      <c r="D30" s="49"/>
      <c r="E30" s="75"/>
      <c r="F30" s="49"/>
      <c r="G30" s="75"/>
      <c r="H30" s="49"/>
      <c r="I30" s="75"/>
      <c r="J30" s="49"/>
      <c r="K30" s="75"/>
    </row>
    <row r="31" spans="1:11" ht="12" customHeight="1">
      <c r="A31" s="266"/>
      <c r="B31" s="49">
        <v>10106673.43</v>
      </c>
      <c r="C31" s="75">
        <v>6.4169770000000002</v>
      </c>
      <c r="D31" s="49">
        <v>10731257.529999999</v>
      </c>
      <c r="E31" s="75">
        <v>6.1799179999999998</v>
      </c>
      <c r="F31" s="49">
        <v>11160970.460000001</v>
      </c>
      <c r="G31" s="75">
        <v>4.0043110000000004</v>
      </c>
      <c r="H31" s="49">
        <v>11084622.380000001</v>
      </c>
      <c r="I31" s="75">
        <v>-0.68406299999999998</v>
      </c>
      <c r="J31" s="49">
        <v>10631546.14507</v>
      </c>
      <c r="K31" s="75">
        <v>-4.0874300000000003</v>
      </c>
    </row>
    <row r="32" spans="1:11" ht="12" customHeight="1">
      <c r="A32" s="266" t="s">
        <v>15</v>
      </c>
      <c r="B32" s="49"/>
      <c r="C32" s="75"/>
      <c r="D32" s="49"/>
      <c r="E32" s="75"/>
      <c r="F32" s="49"/>
      <c r="G32" s="75"/>
      <c r="H32" s="49"/>
      <c r="I32" s="75"/>
      <c r="J32" s="27" t="s">
        <v>282</v>
      </c>
      <c r="K32" s="68" t="s">
        <v>283</v>
      </c>
    </row>
    <row r="33" spans="1:11" ht="12" customHeight="1">
      <c r="A33" s="266"/>
      <c r="B33" s="49">
        <v>1248006.81</v>
      </c>
      <c r="C33" s="75">
        <v>-2.0828380000000002</v>
      </c>
      <c r="D33" s="49">
        <v>1288562.1499999999</v>
      </c>
      <c r="E33" s="75">
        <v>3.249609</v>
      </c>
      <c r="F33" s="49">
        <v>1349908.45</v>
      </c>
      <c r="G33" s="75">
        <v>4.760834</v>
      </c>
      <c r="H33" s="49">
        <v>1350155.42</v>
      </c>
      <c r="I33" s="75">
        <v>1.8294999999999999E-2</v>
      </c>
      <c r="J33" s="49">
        <v>1262775.6299999999</v>
      </c>
      <c r="K33" s="75">
        <v>-6.471832</v>
      </c>
    </row>
    <row r="34" spans="1:11" ht="12" customHeight="1">
      <c r="A34" s="266" t="s">
        <v>16</v>
      </c>
      <c r="B34" s="49"/>
      <c r="C34" s="75"/>
      <c r="D34" s="49"/>
      <c r="E34" s="75"/>
      <c r="F34" s="49"/>
      <c r="G34" s="75"/>
      <c r="H34" s="49"/>
      <c r="I34" s="75"/>
      <c r="J34" s="49"/>
      <c r="K34" s="75"/>
    </row>
    <row r="35" spans="1:11" ht="12" customHeight="1">
      <c r="A35" s="266"/>
      <c r="B35" s="49">
        <v>5344470.41</v>
      </c>
      <c r="C35" s="75"/>
      <c r="D35" s="49">
        <v>5370331.9000000004</v>
      </c>
      <c r="E35" s="75">
        <v>0.48389199999999999</v>
      </c>
      <c r="F35" s="49">
        <v>5845161.3600000003</v>
      </c>
      <c r="G35" s="75">
        <v>8.8417150000000007</v>
      </c>
      <c r="H35" s="49">
        <v>5972861.75</v>
      </c>
      <c r="I35" s="75">
        <v>2.18472</v>
      </c>
      <c r="J35" s="49">
        <v>5622884.7300000004</v>
      </c>
      <c r="K35" s="75">
        <v>-5.8594530000000002</v>
      </c>
    </row>
    <row r="36" spans="1:11" ht="12" customHeight="1">
      <c r="A36" s="270" t="s">
        <v>163</v>
      </c>
      <c r="B36" s="49"/>
      <c r="C36" s="75"/>
      <c r="D36" s="49"/>
      <c r="E36" s="75"/>
      <c r="F36" s="49"/>
      <c r="G36" s="75"/>
      <c r="H36" s="49"/>
      <c r="I36" s="75"/>
      <c r="J36" s="49"/>
      <c r="K36" s="75"/>
    </row>
    <row r="37" spans="1:11" ht="12" customHeight="1">
      <c r="A37" s="270"/>
      <c r="B37" s="27" t="s">
        <v>164</v>
      </c>
      <c r="C37" s="68" t="s">
        <v>165</v>
      </c>
      <c r="D37" s="27" t="s">
        <v>166</v>
      </c>
      <c r="E37" s="68" t="s">
        <v>167</v>
      </c>
      <c r="F37" s="27" t="s">
        <v>168</v>
      </c>
      <c r="G37" s="68" t="s">
        <v>169</v>
      </c>
      <c r="H37" s="27" t="s">
        <v>170</v>
      </c>
      <c r="I37" s="68" t="s">
        <v>171</v>
      </c>
      <c r="J37" s="27" t="s">
        <v>448</v>
      </c>
      <c r="K37" s="68" t="s">
        <v>449</v>
      </c>
    </row>
    <row r="38" spans="1:11" ht="12" customHeight="1">
      <c r="A38" s="266" t="s">
        <v>17</v>
      </c>
      <c r="B38" s="49"/>
      <c r="C38" s="75"/>
      <c r="D38" s="49"/>
      <c r="E38" s="75"/>
      <c r="F38" s="49"/>
      <c r="G38" s="75"/>
      <c r="H38" s="49"/>
      <c r="I38" s="75"/>
      <c r="J38" s="49"/>
      <c r="K38" s="75"/>
    </row>
    <row r="39" spans="1:11" ht="12" customHeight="1">
      <c r="A39" s="266"/>
      <c r="B39" s="49">
        <v>332506.93</v>
      </c>
      <c r="C39" s="75">
        <v>-1.1228290000000001</v>
      </c>
      <c r="D39" s="49">
        <v>344996.71</v>
      </c>
      <c r="E39" s="75">
        <v>3.7562470000000001</v>
      </c>
      <c r="F39" s="49">
        <v>338586.48</v>
      </c>
      <c r="G39" s="75">
        <v>-1.858055</v>
      </c>
      <c r="H39" s="49">
        <v>370946.49</v>
      </c>
      <c r="I39" s="75">
        <v>9.5573840000000008</v>
      </c>
      <c r="J39" s="49">
        <v>386671.18507000001</v>
      </c>
      <c r="K39" s="75">
        <v>4.2390739999999996</v>
      </c>
    </row>
    <row r="40" spans="1:11" ht="12" customHeight="1">
      <c r="A40" s="266" t="s">
        <v>174</v>
      </c>
      <c r="B40" s="49"/>
      <c r="C40" s="75"/>
      <c r="D40" s="49"/>
      <c r="E40" s="75"/>
      <c r="F40" s="49"/>
      <c r="G40" s="75"/>
      <c r="H40" s="49"/>
      <c r="I40" s="75"/>
      <c r="J40" s="49"/>
      <c r="K40" s="75"/>
    </row>
    <row r="41" spans="1:11" ht="12" customHeight="1">
      <c r="A41" s="266"/>
      <c r="B41" s="49">
        <v>527568.55000000005</v>
      </c>
      <c r="C41" s="75"/>
      <c r="D41" s="49">
        <v>558954.6</v>
      </c>
      <c r="E41" s="75">
        <v>5.9491889999999996</v>
      </c>
      <c r="F41" s="49">
        <v>589864.86</v>
      </c>
      <c r="G41" s="75">
        <v>5.5300130000000003</v>
      </c>
      <c r="H41" s="49">
        <v>558367.02</v>
      </c>
      <c r="I41" s="75">
        <v>-5.3398399999999997</v>
      </c>
      <c r="J41" s="49">
        <v>574942.85</v>
      </c>
      <c r="K41" s="75">
        <v>2.968626</v>
      </c>
    </row>
    <row r="42" spans="1:11" ht="12" customHeight="1">
      <c r="A42" s="266" t="s">
        <v>175</v>
      </c>
      <c r="B42" s="49"/>
      <c r="C42" s="75"/>
      <c r="D42" s="49"/>
      <c r="E42" s="75"/>
      <c r="F42" s="49"/>
      <c r="G42" s="75"/>
      <c r="H42" s="49"/>
      <c r="I42" s="75"/>
      <c r="J42" s="49"/>
      <c r="K42" s="75"/>
    </row>
    <row r="43" spans="1:11" ht="12" customHeight="1">
      <c r="A43" s="266"/>
      <c r="B43" s="49">
        <v>588034</v>
      </c>
      <c r="C43" s="75"/>
      <c r="D43" s="49">
        <v>576735.09</v>
      </c>
      <c r="E43" s="75">
        <v>-1.9215610000000001</v>
      </c>
      <c r="F43" s="49">
        <v>676950.53</v>
      </c>
      <c r="G43" s="75">
        <v>17.376338000000001</v>
      </c>
      <c r="H43" s="49">
        <v>673608.74</v>
      </c>
      <c r="I43" s="75">
        <v>-0.49365399999999998</v>
      </c>
      <c r="J43" s="49">
        <v>621825.4</v>
      </c>
      <c r="K43" s="75">
        <v>-7.6874510000000003</v>
      </c>
    </row>
    <row r="44" spans="1:11" ht="12" customHeight="1">
      <c r="A44" s="270" t="s">
        <v>173</v>
      </c>
      <c r="B44" s="49"/>
      <c r="C44" s="75"/>
      <c r="D44" s="49"/>
      <c r="E44" s="75"/>
      <c r="F44" s="49"/>
      <c r="G44" s="75"/>
      <c r="H44" s="49"/>
      <c r="I44" s="75"/>
      <c r="J44" s="49"/>
      <c r="K44" s="75"/>
    </row>
    <row r="45" spans="1:11" ht="12" customHeight="1">
      <c r="A45" s="270"/>
      <c r="B45" s="27" t="s">
        <v>176</v>
      </c>
      <c r="C45" s="68" t="s">
        <v>177</v>
      </c>
      <c r="D45" s="27" t="s">
        <v>178</v>
      </c>
      <c r="E45" s="68" t="s">
        <v>179</v>
      </c>
      <c r="F45" s="27" t="s">
        <v>180</v>
      </c>
      <c r="G45" s="68" t="s">
        <v>181</v>
      </c>
      <c r="H45" s="27" t="s">
        <v>182</v>
      </c>
      <c r="I45" s="68" t="s">
        <v>183</v>
      </c>
      <c r="J45" s="27" t="s">
        <v>450</v>
      </c>
      <c r="K45" s="68" t="s">
        <v>451</v>
      </c>
    </row>
    <row r="46" spans="1:11" ht="12" customHeight="1">
      <c r="A46" s="266" t="s">
        <v>18</v>
      </c>
      <c r="B46" s="49"/>
      <c r="C46" s="75"/>
      <c r="D46" s="49"/>
      <c r="E46" s="75"/>
      <c r="F46" s="49"/>
      <c r="G46" s="75"/>
      <c r="H46" s="49"/>
      <c r="I46" s="75"/>
      <c r="J46" s="49"/>
      <c r="K46" s="75"/>
    </row>
    <row r="47" spans="1:11" ht="12" customHeight="1">
      <c r="A47" s="266"/>
      <c r="B47" s="49">
        <v>161344.56</v>
      </c>
      <c r="C47" s="75">
        <v>6.5269310000000003</v>
      </c>
      <c r="D47" s="49">
        <v>165454.6</v>
      </c>
      <c r="E47" s="75">
        <v>2.5473680000000001</v>
      </c>
      <c r="F47" s="49">
        <v>167821.74</v>
      </c>
      <c r="G47" s="75">
        <v>1.4306890000000001</v>
      </c>
      <c r="H47" s="49">
        <v>175027.63</v>
      </c>
      <c r="I47" s="75">
        <v>4.2937760000000003</v>
      </c>
      <c r="J47" s="49">
        <v>188485.29</v>
      </c>
      <c r="K47" s="75">
        <v>7.6888769999999997</v>
      </c>
    </row>
    <row r="48" spans="1:11" ht="12" customHeight="1">
      <c r="A48" s="266" t="s">
        <v>19</v>
      </c>
      <c r="B48" s="49"/>
      <c r="C48" s="75"/>
      <c r="D48" s="49"/>
      <c r="E48" s="75"/>
      <c r="F48" s="49"/>
      <c r="G48" s="75"/>
      <c r="H48" s="49"/>
      <c r="I48" s="75"/>
      <c r="J48" s="49"/>
      <c r="K48" s="75"/>
    </row>
    <row r="49" spans="1:11" ht="12" customHeight="1">
      <c r="A49" s="266"/>
      <c r="B49" s="49">
        <v>1531158.81</v>
      </c>
      <c r="C49" s="75">
        <v>-11.949602000000001</v>
      </c>
      <c r="D49" s="49">
        <v>2061933.81</v>
      </c>
      <c r="E49" s="75">
        <v>34.664921999999997</v>
      </c>
      <c r="F49" s="49">
        <v>1846745.63</v>
      </c>
      <c r="G49" s="75">
        <v>-10.436230999999999</v>
      </c>
      <c r="H49" s="49">
        <v>1646826.5</v>
      </c>
      <c r="I49" s="75">
        <v>-10.825483</v>
      </c>
      <c r="J49" s="49">
        <v>1607365.04</v>
      </c>
      <c r="K49" s="75">
        <v>-2.3962119999999998</v>
      </c>
    </row>
    <row r="50" spans="1:11" ht="12" customHeight="1" thickBot="1">
      <c r="A50" s="8"/>
      <c r="B50" s="49"/>
      <c r="C50" s="75"/>
      <c r="D50" s="49"/>
      <c r="E50" s="75"/>
      <c r="F50" s="49"/>
      <c r="G50" s="75"/>
      <c r="H50" s="49"/>
      <c r="I50" s="75"/>
      <c r="J50" s="27" t="s">
        <v>353</v>
      </c>
      <c r="K50" s="68" t="s">
        <v>354</v>
      </c>
    </row>
    <row r="51" spans="1:11" ht="12" customHeight="1">
      <c r="A51" s="265" t="s">
        <v>20</v>
      </c>
      <c r="B51" s="6"/>
      <c r="C51" s="74"/>
      <c r="D51" s="6"/>
      <c r="E51" s="74"/>
      <c r="F51" s="6"/>
      <c r="G51" s="74"/>
      <c r="H51" s="6"/>
      <c r="I51" s="74"/>
      <c r="J51" s="6"/>
      <c r="K51" s="74"/>
    </row>
    <row r="52" spans="1:11" ht="12" customHeight="1">
      <c r="A52" s="266"/>
      <c r="B52" s="49"/>
      <c r="C52" s="75"/>
      <c r="D52" s="49"/>
      <c r="E52" s="75"/>
      <c r="F52" s="49"/>
      <c r="G52" s="75"/>
      <c r="H52" s="49"/>
      <c r="I52" s="75"/>
      <c r="J52" s="49"/>
      <c r="K52" s="75"/>
    </row>
    <row r="53" spans="1:11" ht="12" customHeight="1">
      <c r="A53" s="266" t="s">
        <v>21</v>
      </c>
      <c r="B53" s="49"/>
      <c r="C53" s="75"/>
      <c r="D53" s="49"/>
      <c r="E53" s="75"/>
      <c r="F53" s="49"/>
      <c r="G53" s="75"/>
      <c r="H53" s="49"/>
      <c r="I53" s="75"/>
      <c r="J53" s="49"/>
      <c r="K53" s="75"/>
    </row>
    <row r="54" spans="1:11" ht="12" customHeight="1">
      <c r="A54" s="266"/>
      <c r="B54" s="49">
        <v>5392590.1100000003</v>
      </c>
      <c r="C54" s="75">
        <v>6</v>
      </c>
      <c r="D54" s="49">
        <v>5652021.9299999997</v>
      </c>
      <c r="E54" s="75">
        <v>4.8108940000000002</v>
      </c>
      <c r="F54" s="49">
        <v>5980022.9400000004</v>
      </c>
      <c r="G54" s="75">
        <v>5.8032510000000004</v>
      </c>
      <c r="H54" s="49">
        <v>6220750.8799999999</v>
      </c>
      <c r="I54" s="75">
        <v>4.0255349999999996</v>
      </c>
      <c r="J54" s="49">
        <v>5881368.3499999996</v>
      </c>
      <c r="K54" s="75">
        <v>-5.4556519999999997</v>
      </c>
    </row>
    <row r="55" spans="1:11" ht="12" customHeight="1">
      <c r="A55" s="266" t="s">
        <v>22</v>
      </c>
      <c r="B55" s="49"/>
      <c r="C55" s="75"/>
      <c r="D55" s="49"/>
      <c r="E55" s="75"/>
      <c r="F55" s="49"/>
      <c r="G55" s="75"/>
      <c r="H55" s="49"/>
      <c r="I55" s="75"/>
      <c r="J55" s="49"/>
      <c r="K55" s="75"/>
    </row>
    <row r="56" spans="1:11" ht="12" customHeight="1">
      <c r="A56" s="266"/>
      <c r="B56" s="49">
        <v>2328366.9</v>
      </c>
      <c r="C56" s="75">
        <v>10.7</v>
      </c>
      <c r="D56" s="49">
        <v>2309334.89</v>
      </c>
      <c r="E56" s="75">
        <v>-0.81739700000000004</v>
      </c>
      <c r="F56" s="49">
        <v>2540417.12</v>
      </c>
      <c r="G56" s="75">
        <v>10.006441000000001</v>
      </c>
      <c r="H56" s="49">
        <v>2407752.7599999998</v>
      </c>
      <c r="I56" s="75">
        <v>-5.2221489999999999</v>
      </c>
      <c r="J56" s="49">
        <v>2350192.83507</v>
      </c>
      <c r="K56" s="75">
        <v>-2.3906079999999998</v>
      </c>
    </row>
    <row r="57" spans="1:11" ht="12" customHeight="1">
      <c r="A57" s="266" t="s">
        <v>23</v>
      </c>
      <c r="B57" s="49"/>
      <c r="C57" s="75"/>
      <c r="D57" s="49"/>
      <c r="E57" s="75"/>
      <c r="F57" s="49"/>
      <c r="G57" s="75"/>
      <c r="H57" s="49"/>
      <c r="I57" s="75"/>
      <c r="J57" s="49"/>
      <c r="K57" s="75"/>
    </row>
    <row r="58" spans="1:11" ht="12" customHeight="1">
      <c r="A58" s="266"/>
      <c r="B58" s="49">
        <v>5343070.18</v>
      </c>
      <c r="C58" s="75">
        <v>4.3585859999999998</v>
      </c>
      <c r="D58" s="49">
        <v>6008178.9699999997</v>
      </c>
      <c r="E58" s="75">
        <v>12.448064</v>
      </c>
      <c r="F58" s="49">
        <v>5870092.1100000003</v>
      </c>
      <c r="G58" s="75">
        <v>-2.2983150000000001</v>
      </c>
      <c r="H58" s="49">
        <v>6063323.9400000004</v>
      </c>
      <c r="I58" s="75">
        <v>3.2918020000000001</v>
      </c>
      <c r="J58" s="49">
        <v>5668426.5</v>
      </c>
      <c r="K58" s="75">
        <v>-6.5128870000000001</v>
      </c>
    </row>
    <row r="59" spans="1:11" ht="12" customHeight="1">
      <c r="A59" s="266" t="s">
        <v>24</v>
      </c>
      <c r="B59" s="49"/>
      <c r="C59" s="75"/>
      <c r="D59" s="49"/>
      <c r="E59" s="75"/>
      <c r="F59" s="49"/>
      <c r="G59" s="75"/>
      <c r="H59" s="49"/>
      <c r="I59" s="75"/>
      <c r="J59" s="49"/>
      <c r="K59" s="75"/>
    </row>
    <row r="60" spans="1:11" ht="12" customHeight="1" thickBot="1">
      <c r="A60" s="271"/>
      <c r="B60" s="77">
        <v>1139531.57</v>
      </c>
      <c r="C60" s="78">
        <v>9.7528210000000009</v>
      </c>
      <c r="D60" s="77">
        <v>1111671.1100000001</v>
      </c>
      <c r="E60" s="78">
        <v>-2.4449049999999999</v>
      </c>
      <c r="F60" s="77">
        <v>1273796.33</v>
      </c>
      <c r="G60" s="78">
        <v>14.583920000000001</v>
      </c>
      <c r="H60" s="77">
        <v>1109885.79</v>
      </c>
      <c r="I60" s="78">
        <v>-12.867877</v>
      </c>
      <c r="J60" s="77">
        <v>1182084.1399999999</v>
      </c>
      <c r="K60" s="78">
        <v>6.5050249999999998</v>
      </c>
    </row>
    <row r="61" spans="1:11" ht="7.5" customHeight="1">
      <c r="A61" s="13"/>
      <c r="B61" s="14"/>
      <c r="C61" s="15"/>
      <c r="D61" s="14"/>
      <c r="E61" s="15"/>
      <c r="F61" s="14"/>
      <c r="G61" s="15"/>
      <c r="H61" s="14"/>
      <c r="I61" s="15"/>
      <c r="J61" s="14"/>
      <c r="K61" s="15"/>
    </row>
    <row r="62" spans="1:11" ht="11.9" customHeight="1">
      <c r="A62" s="13" t="s">
        <v>369</v>
      </c>
      <c r="B62" s="14"/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65" t="s">
        <v>371</v>
      </c>
      <c r="B63" s="14"/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6"/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3"/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/>
      <c r="B66" s="14"/>
      <c r="C66" s="15"/>
      <c r="D66" s="14"/>
      <c r="E66" s="15"/>
      <c r="F66" s="14"/>
      <c r="G66" s="15"/>
      <c r="H66" s="14"/>
      <c r="I66" s="15"/>
      <c r="J66" s="14"/>
      <c r="K66" s="15"/>
    </row>
  </sheetData>
  <mergeCells count="33">
    <mergeCell ref="A36:A37"/>
    <mergeCell ref="A38:A39"/>
    <mergeCell ref="A40:A41"/>
    <mergeCell ref="A57:A58"/>
    <mergeCell ref="A59:A60"/>
    <mergeCell ref="A48:A49"/>
    <mergeCell ref="A51:A52"/>
    <mergeCell ref="A53:A54"/>
    <mergeCell ref="A55:A56"/>
    <mergeCell ref="A22:A23"/>
    <mergeCell ref="A24:A25"/>
    <mergeCell ref="A46:A47"/>
    <mergeCell ref="A28:A29"/>
    <mergeCell ref="A30:A31"/>
    <mergeCell ref="A32:A33"/>
    <mergeCell ref="A34:A35"/>
    <mergeCell ref="A44:A45"/>
    <mergeCell ref="A42:A43"/>
    <mergeCell ref="A26:A27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42" right="0.75" top="0.45" bottom="0.62" header="0.27" footer="0.51200000000000001"/>
  <pageSetup paperSize="9" scale="70" orientation="landscape" horizontalDpi="300" verticalDpi="300" r:id="rId1"/>
  <headerFooter alignWithMargins="0"/>
  <rowBreaks count="1" manualBreakCount="1"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C9D27-1C88-429E-835F-DD1F73557DC1}">
  <dimension ref="A2:K144"/>
  <sheetViews>
    <sheetView showGridLines="0" view="pageBreakPreview" zoomScaleNormal="75" zoomScaleSheetLayoutView="70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2" spans="1:11" ht="19">
      <c r="D2" s="1" t="s">
        <v>25</v>
      </c>
    </row>
    <row r="3" spans="1:11" ht="11.5" thickBot="1">
      <c r="K3" s="3" t="s">
        <v>2</v>
      </c>
    </row>
    <row r="4" spans="1:11" ht="12" customHeight="1" thickBot="1">
      <c r="A4" s="267" t="s">
        <v>3</v>
      </c>
      <c r="B4" s="263" t="s">
        <v>261</v>
      </c>
      <c r="C4" s="263"/>
      <c r="D4" s="263" t="s">
        <v>263</v>
      </c>
      <c r="E4" s="264"/>
      <c r="F4" s="263" t="s">
        <v>265</v>
      </c>
      <c r="G4" s="264"/>
      <c r="H4" s="263" t="s">
        <v>267</v>
      </c>
      <c r="I4" s="264"/>
      <c r="J4" s="263" t="s">
        <v>269</v>
      </c>
      <c r="K4" s="264"/>
    </row>
    <row r="5" spans="1:11" ht="25" customHeight="1" thickBot="1">
      <c r="A5" s="272"/>
      <c r="B5" s="4"/>
      <c r="C5" s="73" t="s">
        <v>4</v>
      </c>
      <c r="D5" s="4"/>
      <c r="E5" s="73" t="s">
        <v>4</v>
      </c>
      <c r="F5" s="4"/>
      <c r="G5" s="73" t="s">
        <v>4</v>
      </c>
      <c r="H5" s="4"/>
      <c r="I5" s="73" t="s">
        <v>4</v>
      </c>
      <c r="J5" s="4"/>
      <c r="K5" s="73" t="s">
        <v>4</v>
      </c>
    </row>
    <row r="6" spans="1:11" ht="12" customHeight="1">
      <c r="A6" s="265" t="s">
        <v>5</v>
      </c>
      <c r="B6" s="6"/>
      <c r="C6" s="79"/>
      <c r="D6" s="6"/>
      <c r="E6" s="79"/>
      <c r="F6" s="6"/>
      <c r="G6" s="79"/>
      <c r="H6" s="6"/>
      <c r="I6" s="79"/>
      <c r="J6" s="6"/>
      <c r="K6" s="79"/>
    </row>
    <row r="7" spans="1:11" ht="12" customHeight="1">
      <c r="A7" s="266"/>
      <c r="B7" s="49">
        <v>447034.61</v>
      </c>
      <c r="C7" s="68">
        <v>23.494091999999998</v>
      </c>
      <c r="D7" s="49">
        <v>516926.35</v>
      </c>
      <c r="E7" s="68">
        <v>15.634525</v>
      </c>
      <c r="F7" s="49">
        <v>543785.87</v>
      </c>
      <c r="G7" s="68">
        <v>5.1960050000000004</v>
      </c>
      <c r="H7" s="49">
        <v>534892.80000000005</v>
      </c>
      <c r="I7" s="68">
        <v>-1.635399</v>
      </c>
      <c r="J7" s="49">
        <v>354622.99346999999</v>
      </c>
      <c r="K7" s="68">
        <v>-33.702044000000001</v>
      </c>
    </row>
    <row r="8" spans="1:11" ht="12" customHeight="1">
      <c r="A8" s="266" t="s">
        <v>6</v>
      </c>
      <c r="B8" s="49"/>
      <c r="C8" s="68"/>
      <c r="D8" s="49"/>
      <c r="E8" s="68"/>
      <c r="F8" s="49"/>
      <c r="G8" s="68"/>
      <c r="H8" s="49"/>
      <c r="I8" s="68"/>
      <c r="J8" s="27" t="s">
        <v>284</v>
      </c>
      <c r="K8" s="68" t="s">
        <v>285</v>
      </c>
    </row>
    <row r="9" spans="1:11" ht="12" customHeight="1">
      <c r="A9" s="266"/>
      <c r="B9" s="49">
        <v>194724.51</v>
      </c>
      <c r="C9" s="68">
        <v>29.073564999999999</v>
      </c>
      <c r="D9" s="49">
        <v>217841.93</v>
      </c>
      <c r="E9" s="68">
        <v>11.871859000000001</v>
      </c>
      <c r="F9" s="49">
        <v>238066.21</v>
      </c>
      <c r="G9" s="68">
        <v>9.2839240000000007</v>
      </c>
      <c r="H9" s="49">
        <v>238903.11</v>
      </c>
      <c r="I9" s="68">
        <v>0.35154099999999999</v>
      </c>
      <c r="J9" s="49">
        <v>101844.07</v>
      </c>
      <c r="K9" s="68">
        <v>-57.370136000000002</v>
      </c>
    </row>
    <row r="10" spans="1:11" ht="12" customHeight="1">
      <c r="A10" s="266" t="s">
        <v>7</v>
      </c>
      <c r="B10" s="49"/>
      <c r="C10" s="68"/>
      <c r="D10" s="49"/>
      <c r="E10" s="68"/>
      <c r="F10" s="49"/>
      <c r="G10" s="68"/>
      <c r="H10" s="49"/>
      <c r="I10" s="68"/>
      <c r="J10" s="49"/>
      <c r="K10" s="68"/>
    </row>
    <row r="11" spans="1:11" ht="12" customHeight="1">
      <c r="A11" s="266"/>
      <c r="B11" s="49">
        <v>15217.68</v>
      </c>
      <c r="C11" s="68">
        <v>13.989599999999999</v>
      </c>
      <c r="D11" s="49">
        <v>13447.14</v>
      </c>
      <c r="E11" s="68">
        <v>-11.634755999999999</v>
      </c>
      <c r="F11" s="49">
        <v>13082.42</v>
      </c>
      <c r="G11" s="68">
        <v>-2.71225</v>
      </c>
      <c r="H11" s="49">
        <v>12367.15</v>
      </c>
      <c r="I11" s="68">
        <v>-5.4674139999999998</v>
      </c>
      <c r="J11" s="49">
        <v>13510.2</v>
      </c>
      <c r="K11" s="68">
        <v>9.2426309999999994</v>
      </c>
    </row>
    <row r="12" spans="1:11" ht="12" customHeight="1">
      <c r="A12" s="266" t="s">
        <v>8</v>
      </c>
      <c r="B12" s="49"/>
      <c r="C12" s="68"/>
      <c r="D12" s="49"/>
      <c r="E12" s="68"/>
      <c r="F12" s="49"/>
      <c r="G12" s="68"/>
      <c r="H12" s="49"/>
      <c r="I12" s="68"/>
      <c r="J12" s="49"/>
      <c r="K12" s="68"/>
    </row>
    <row r="13" spans="1:11" ht="12" customHeight="1">
      <c r="A13" s="266"/>
      <c r="B13" s="49">
        <v>35344.33</v>
      </c>
      <c r="C13" s="68">
        <v>25.648088999999999</v>
      </c>
      <c r="D13" s="49">
        <v>35614.76</v>
      </c>
      <c r="E13" s="68">
        <v>0.76512999999999998</v>
      </c>
      <c r="F13" s="49">
        <v>37589.75</v>
      </c>
      <c r="G13" s="68">
        <v>5.545426</v>
      </c>
      <c r="H13" s="49">
        <v>36291.83</v>
      </c>
      <c r="I13" s="68">
        <v>-3.4528560000000001</v>
      </c>
      <c r="J13" s="49">
        <v>22304.26</v>
      </c>
      <c r="K13" s="68">
        <v>-38.541924999999999</v>
      </c>
    </row>
    <row r="14" spans="1:11" s="76" customFormat="1" ht="12" customHeight="1">
      <c r="A14" s="269" t="s">
        <v>9</v>
      </c>
      <c r="B14" s="49"/>
      <c r="C14" s="75"/>
      <c r="D14" s="49"/>
      <c r="E14" s="75"/>
      <c r="F14" s="49"/>
      <c r="G14" s="75"/>
      <c r="H14" s="49"/>
      <c r="I14" s="75"/>
      <c r="J14" s="49"/>
      <c r="K14" s="75"/>
    </row>
    <row r="15" spans="1:11" s="76" customFormat="1" ht="12" customHeight="1">
      <c r="A15" s="269"/>
      <c r="B15" s="49">
        <v>4557.74</v>
      </c>
      <c r="C15" s="75">
        <v>162.32653999999999</v>
      </c>
      <c r="D15" s="49">
        <v>5064.99</v>
      </c>
      <c r="E15" s="75">
        <v>11.129419</v>
      </c>
      <c r="F15" s="49">
        <v>4376.8599999999997</v>
      </c>
      <c r="G15" s="75">
        <v>-13.586009000000001</v>
      </c>
      <c r="H15" s="49">
        <v>2969.67</v>
      </c>
      <c r="I15" s="75">
        <v>-32.150674000000002</v>
      </c>
      <c r="J15" s="49">
        <v>-1494.62</v>
      </c>
      <c r="K15" s="75">
        <v>-150.329498</v>
      </c>
    </row>
    <row r="16" spans="1:11" s="76" customFormat="1" ht="12" customHeight="1">
      <c r="A16" s="269" t="s">
        <v>10</v>
      </c>
      <c r="B16" s="49"/>
      <c r="C16" s="75"/>
      <c r="D16" s="49"/>
      <c r="E16" s="75"/>
      <c r="F16" s="49"/>
      <c r="G16" s="75"/>
      <c r="H16" s="49"/>
      <c r="I16" s="75"/>
      <c r="J16" s="49"/>
      <c r="K16" s="75"/>
    </row>
    <row r="17" spans="1:11" s="76" customFormat="1" ht="12" customHeight="1">
      <c r="A17" s="269"/>
      <c r="B17" s="49">
        <v>14965.84</v>
      </c>
      <c r="C17" s="75">
        <v>136.34764300000001</v>
      </c>
      <c r="D17" s="49">
        <v>19457.740000000002</v>
      </c>
      <c r="E17" s="75">
        <v>30.014353</v>
      </c>
      <c r="F17" s="49">
        <v>19876.810000000001</v>
      </c>
      <c r="G17" s="75">
        <v>2.1537440000000001</v>
      </c>
      <c r="H17" s="49">
        <v>18736.150000000001</v>
      </c>
      <c r="I17" s="75">
        <v>-5.7386470000000003</v>
      </c>
      <c r="J17" s="49">
        <v>12285.37</v>
      </c>
      <c r="K17" s="75">
        <v>-34.429592</v>
      </c>
    </row>
    <row r="18" spans="1:11" ht="12" customHeight="1">
      <c r="A18" s="266" t="s">
        <v>11</v>
      </c>
      <c r="B18" s="49"/>
      <c r="C18" s="68"/>
      <c r="D18" s="49"/>
      <c r="E18" s="68"/>
      <c r="F18" s="49"/>
      <c r="G18" s="68"/>
      <c r="H18" s="49"/>
      <c r="I18" s="68"/>
      <c r="J18" s="49"/>
      <c r="K18" s="68"/>
    </row>
    <row r="19" spans="1:11" ht="12" customHeight="1">
      <c r="A19" s="266"/>
      <c r="B19" s="49">
        <v>7958.29</v>
      </c>
      <c r="C19" s="68">
        <v>41.166755999999999</v>
      </c>
      <c r="D19" s="49">
        <v>7429.54</v>
      </c>
      <c r="E19" s="68">
        <v>-6.6440149999999996</v>
      </c>
      <c r="F19" s="49">
        <v>7218.15</v>
      </c>
      <c r="G19" s="68">
        <v>-2.8452639999999998</v>
      </c>
      <c r="H19" s="49">
        <v>9274.26</v>
      </c>
      <c r="I19" s="68">
        <v>28.485277</v>
      </c>
      <c r="J19" s="49">
        <v>6611.18</v>
      </c>
      <c r="K19" s="68">
        <v>-28.714744</v>
      </c>
    </row>
    <row r="20" spans="1:11" ht="12" customHeight="1">
      <c r="A20" s="266" t="s">
        <v>12</v>
      </c>
      <c r="B20" s="49"/>
      <c r="C20" s="68"/>
      <c r="D20" s="49"/>
      <c r="E20" s="68"/>
      <c r="F20" s="49"/>
      <c r="G20" s="68"/>
      <c r="H20" s="49"/>
      <c r="I20" s="68"/>
      <c r="J20" s="49"/>
      <c r="K20" s="68"/>
    </row>
    <row r="21" spans="1:11" ht="12" customHeight="1">
      <c r="A21" s="266"/>
      <c r="B21" s="49">
        <v>15891.87</v>
      </c>
      <c r="C21" s="68">
        <v>47.271034</v>
      </c>
      <c r="D21" s="49">
        <v>19586.169999999998</v>
      </c>
      <c r="E21" s="68">
        <v>23.246478</v>
      </c>
      <c r="F21" s="49">
        <v>25197.51</v>
      </c>
      <c r="G21" s="68">
        <v>28.649501000000001</v>
      </c>
      <c r="H21" s="49">
        <v>26219.67</v>
      </c>
      <c r="I21" s="68">
        <v>4.0565910000000001</v>
      </c>
      <c r="J21" s="49">
        <v>12527.7</v>
      </c>
      <c r="K21" s="68">
        <v>-52.220222</v>
      </c>
    </row>
    <row r="22" spans="1:11" ht="12" customHeight="1">
      <c r="A22" s="266" t="s">
        <v>184</v>
      </c>
      <c r="B22" s="49"/>
      <c r="C22" s="68"/>
      <c r="D22" s="49"/>
      <c r="E22" s="68"/>
      <c r="F22" s="49"/>
      <c r="G22" s="68"/>
      <c r="H22" s="49"/>
      <c r="I22" s="68"/>
      <c r="J22" s="49"/>
      <c r="K22" s="68"/>
    </row>
    <row r="23" spans="1:11" ht="12" customHeight="1">
      <c r="A23" s="266"/>
      <c r="B23" s="80">
        <v>16077.43</v>
      </c>
      <c r="C23" s="81"/>
      <c r="D23" s="49">
        <v>17362.41</v>
      </c>
      <c r="E23" s="68">
        <v>7.9924470000000003</v>
      </c>
      <c r="F23" s="49">
        <v>20096.14</v>
      </c>
      <c r="G23" s="68">
        <v>15.745107000000001</v>
      </c>
      <c r="H23" s="49">
        <v>21249.37</v>
      </c>
      <c r="I23" s="68">
        <v>5.7385650000000004</v>
      </c>
      <c r="J23" s="49">
        <v>3161.69</v>
      </c>
      <c r="K23" s="68">
        <v>-85.121018000000007</v>
      </c>
    </row>
    <row r="24" spans="1:11" ht="12" customHeight="1">
      <c r="A24" s="266" t="s">
        <v>154</v>
      </c>
      <c r="B24" s="80"/>
      <c r="C24" s="81"/>
      <c r="D24" s="49"/>
      <c r="E24" s="68"/>
      <c r="F24" s="49"/>
      <c r="G24" s="68"/>
      <c r="H24" s="49"/>
      <c r="I24" s="68"/>
      <c r="J24" s="49"/>
      <c r="K24" s="68"/>
    </row>
    <row r="25" spans="1:11" ht="12" customHeight="1">
      <c r="A25" s="266"/>
      <c r="B25" s="49">
        <v>13676.27</v>
      </c>
      <c r="C25" s="68"/>
      <c r="D25" s="49">
        <v>9305.09</v>
      </c>
      <c r="E25" s="68">
        <v>-31.961784999999999</v>
      </c>
      <c r="F25" s="49">
        <v>13312.89</v>
      </c>
      <c r="G25" s="68">
        <v>43.07105</v>
      </c>
      <c r="H25" s="49">
        <v>11807.2</v>
      </c>
      <c r="I25" s="68">
        <v>-11.310015999999999</v>
      </c>
      <c r="J25" s="49">
        <v>-2022.68</v>
      </c>
      <c r="K25" s="68">
        <v>-117.130903</v>
      </c>
    </row>
    <row r="26" spans="1:11" ht="12" customHeight="1">
      <c r="A26" s="270" t="s">
        <v>185</v>
      </c>
      <c r="B26" s="49"/>
      <c r="C26" s="68"/>
      <c r="D26" s="49"/>
      <c r="E26" s="68"/>
      <c r="F26" s="49"/>
      <c r="G26" s="68"/>
      <c r="H26" s="49"/>
      <c r="I26" s="68"/>
      <c r="J26" s="49"/>
      <c r="K26" s="68"/>
    </row>
    <row r="27" spans="1:11" ht="12" customHeight="1">
      <c r="A27" s="270"/>
      <c r="B27" s="27" t="s">
        <v>186</v>
      </c>
      <c r="C27" s="68" t="s">
        <v>187</v>
      </c>
      <c r="D27" s="27" t="s">
        <v>188</v>
      </c>
      <c r="E27" s="68" t="s">
        <v>189</v>
      </c>
      <c r="F27" s="27" t="s">
        <v>190</v>
      </c>
      <c r="G27" s="68" t="s">
        <v>191</v>
      </c>
      <c r="H27" s="27" t="s">
        <v>192</v>
      </c>
      <c r="I27" s="68" t="s">
        <v>193</v>
      </c>
      <c r="J27" s="27" t="s">
        <v>452</v>
      </c>
      <c r="K27" s="68" t="s">
        <v>453</v>
      </c>
    </row>
    <row r="28" spans="1:11" ht="12" customHeight="1">
      <c r="A28" s="266" t="s">
        <v>13</v>
      </c>
      <c r="B28" s="49"/>
      <c r="C28" s="68"/>
      <c r="D28" s="49"/>
      <c r="E28" s="68"/>
      <c r="F28" s="49"/>
      <c r="G28" s="68"/>
      <c r="H28" s="49"/>
      <c r="I28" s="68"/>
      <c r="J28" s="49"/>
      <c r="K28" s="68"/>
    </row>
    <row r="29" spans="1:11" ht="12" customHeight="1">
      <c r="A29" s="266"/>
      <c r="B29" s="49">
        <v>27113.9</v>
      </c>
      <c r="C29" s="68">
        <v>-4.9000000000000004</v>
      </c>
      <c r="D29" s="49">
        <v>35753.910000000003</v>
      </c>
      <c r="E29" s="68">
        <v>31.865611000000001</v>
      </c>
      <c r="F29" s="49">
        <v>38528.75</v>
      </c>
      <c r="G29" s="68">
        <v>7.7609409999999999</v>
      </c>
      <c r="H29" s="49">
        <v>43344.42</v>
      </c>
      <c r="I29" s="68">
        <v>12.498900000000001</v>
      </c>
      <c r="J29" s="49">
        <v>4999.22</v>
      </c>
      <c r="K29" s="68">
        <v>-88.466289000000003</v>
      </c>
    </row>
    <row r="30" spans="1:11" ht="12" customHeight="1">
      <c r="A30" s="266" t="s">
        <v>14</v>
      </c>
      <c r="B30" s="49"/>
      <c r="C30" s="68"/>
      <c r="D30" s="49"/>
      <c r="E30" s="68"/>
      <c r="F30" s="49"/>
      <c r="G30" s="68"/>
      <c r="H30" s="49"/>
      <c r="I30" s="68"/>
      <c r="J30" s="49"/>
      <c r="K30" s="68"/>
    </row>
    <row r="31" spans="1:11" ht="12" customHeight="1">
      <c r="A31" s="266"/>
      <c r="B31" s="49">
        <v>252310.1</v>
      </c>
      <c r="C31" s="68">
        <v>19.507187999999999</v>
      </c>
      <c r="D31" s="49">
        <v>299084.42</v>
      </c>
      <c r="E31" s="68">
        <v>18.538426000000001</v>
      </c>
      <c r="F31" s="49">
        <v>305719.65999999997</v>
      </c>
      <c r="G31" s="68">
        <v>2.2185169999999999</v>
      </c>
      <c r="H31" s="49">
        <v>295989.69</v>
      </c>
      <c r="I31" s="68">
        <v>-3.1826449999999999</v>
      </c>
      <c r="J31" s="49">
        <v>252778.92347000001</v>
      </c>
      <c r="K31" s="68">
        <v>-14.598739999999999</v>
      </c>
    </row>
    <row r="32" spans="1:11" ht="12" customHeight="1">
      <c r="A32" s="266" t="s">
        <v>15</v>
      </c>
      <c r="B32" s="49"/>
      <c r="C32" s="68"/>
      <c r="D32" s="49"/>
      <c r="E32" s="68"/>
      <c r="F32" s="49"/>
      <c r="G32" s="68"/>
      <c r="H32" s="49"/>
      <c r="I32" s="68"/>
      <c r="J32" s="27" t="s">
        <v>286</v>
      </c>
      <c r="K32" s="68" t="s">
        <v>287</v>
      </c>
    </row>
    <row r="33" spans="1:11" ht="12" customHeight="1">
      <c r="A33" s="266"/>
      <c r="B33" s="49">
        <v>22993.61</v>
      </c>
      <c r="C33" s="68">
        <v>15.642419</v>
      </c>
      <c r="D33" s="49">
        <v>21331.95</v>
      </c>
      <c r="E33" s="68">
        <v>-7.2266159999999999</v>
      </c>
      <c r="F33" s="49">
        <v>24939.68</v>
      </c>
      <c r="G33" s="68">
        <v>16.912330999999998</v>
      </c>
      <c r="H33" s="49">
        <v>23084.93</v>
      </c>
      <c r="I33" s="68">
        <v>-7.4369440000000004</v>
      </c>
      <c r="J33" s="49">
        <v>16434.900000000001</v>
      </c>
      <c r="K33" s="68">
        <v>-28.806802000000001</v>
      </c>
    </row>
    <row r="34" spans="1:11" ht="12" customHeight="1">
      <c r="A34" s="266" t="s">
        <v>16</v>
      </c>
      <c r="B34" s="49"/>
      <c r="C34" s="68"/>
      <c r="D34" s="49"/>
      <c r="E34" s="68"/>
      <c r="F34" s="49"/>
      <c r="G34" s="68"/>
      <c r="H34" s="49"/>
      <c r="I34" s="68"/>
      <c r="J34" s="49"/>
      <c r="K34" s="68"/>
    </row>
    <row r="35" spans="1:11" ht="12" customHeight="1">
      <c r="A35" s="266"/>
      <c r="B35" s="49">
        <v>78140.27</v>
      </c>
      <c r="C35" s="68"/>
      <c r="D35" s="49">
        <v>93757.23</v>
      </c>
      <c r="E35" s="68">
        <v>19.985802</v>
      </c>
      <c r="F35" s="49">
        <v>91052.74</v>
      </c>
      <c r="G35" s="68">
        <v>-2.8845670000000001</v>
      </c>
      <c r="H35" s="49">
        <v>89336</v>
      </c>
      <c r="I35" s="68">
        <v>-1.885435</v>
      </c>
      <c r="J35" s="49">
        <v>70871.679999999993</v>
      </c>
      <c r="K35" s="68">
        <v>-20.668398</v>
      </c>
    </row>
    <row r="36" spans="1:11" ht="12" customHeight="1">
      <c r="A36" s="270" t="s">
        <v>163</v>
      </c>
      <c r="B36" s="49"/>
      <c r="C36" s="68"/>
      <c r="D36" s="49"/>
      <c r="E36" s="68"/>
      <c r="F36" s="49"/>
      <c r="G36" s="68"/>
      <c r="H36" s="49"/>
      <c r="I36" s="68"/>
      <c r="J36" s="49"/>
      <c r="K36" s="68"/>
    </row>
    <row r="37" spans="1:11" ht="12" customHeight="1">
      <c r="A37" s="270"/>
      <c r="B37" s="27" t="s">
        <v>194</v>
      </c>
      <c r="C37" s="68" t="s">
        <v>195</v>
      </c>
      <c r="D37" s="27" t="s">
        <v>196</v>
      </c>
      <c r="E37" s="68" t="s">
        <v>197</v>
      </c>
      <c r="F37" s="27" t="s">
        <v>198</v>
      </c>
      <c r="G37" s="68" t="s">
        <v>199</v>
      </c>
      <c r="H37" s="27" t="s">
        <v>200</v>
      </c>
      <c r="I37" s="68" t="s">
        <v>201</v>
      </c>
      <c r="J37" s="27" t="s">
        <v>454</v>
      </c>
      <c r="K37" s="68" t="s">
        <v>455</v>
      </c>
    </row>
    <row r="38" spans="1:11" ht="12" customHeight="1">
      <c r="A38" s="266" t="s">
        <v>17</v>
      </c>
      <c r="B38" s="49"/>
      <c r="C38" s="68"/>
      <c r="D38" s="49"/>
      <c r="E38" s="68"/>
      <c r="F38" s="49"/>
      <c r="G38" s="68"/>
      <c r="H38" s="49"/>
      <c r="I38" s="68"/>
      <c r="J38" s="49"/>
      <c r="K38" s="68"/>
    </row>
    <row r="39" spans="1:11" ht="12" customHeight="1">
      <c r="A39" s="266"/>
      <c r="B39" s="49">
        <v>21673.08</v>
      </c>
      <c r="C39" s="68">
        <v>23.251114999999999</v>
      </c>
      <c r="D39" s="49">
        <v>23324.44</v>
      </c>
      <c r="E39" s="68">
        <v>7.6194059999999997</v>
      </c>
      <c r="F39" s="49">
        <v>34647.730000000003</v>
      </c>
      <c r="G39" s="68">
        <v>48.546889</v>
      </c>
      <c r="H39" s="49">
        <v>34265.480000000003</v>
      </c>
      <c r="I39" s="68">
        <v>-1.1032470000000001</v>
      </c>
      <c r="J39" s="49">
        <v>29236.243470000001</v>
      </c>
      <c r="K39" s="68">
        <v>-14.677269000000001</v>
      </c>
    </row>
    <row r="40" spans="1:11" ht="12" customHeight="1">
      <c r="A40" s="266" t="s">
        <v>202</v>
      </c>
      <c r="B40" s="49"/>
      <c r="C40" s="68"/>
      <c r="D40" s="49"/>
      <c r="E40" s="68"/>
      <c r="F40" s="49"/>
      <c r="G40" s="68"/>
      <c r="H40" s="49"/>
      <c r="I40" s="68"/>
      <c r="J40" s="49"/>
      <c r="K40" s="68"/>
    </row>
    <row r="41" spans="1:11" ht="12" customHeight="1">
      <c r="A41" s="266"/>
      <c r="B41" s="49">
        <v>32256</v>
      </c>
      <c r="C41" s="68"/>
      <c r="D41" s="49">
        <v>37621.06</v>
      </c>
      <c r="E41" s="68">
        <v>16.632750000000001</v>
      </c>
      <c r="F41" s="49">
        <v>38275.19</v>
      </c>
      <c r="G41" s="68">
        <v>1.738734</v>
      </c>
      <c r="H41" s="49">
        <v>37558.300000000003</v>
      </c>
      <c r="I41" s="68">
        <v>-1.872989</v>
      </c>
      <c r="J41" s="49">
        <v>35533.599999999999</v>
      </c>
      <c r="K41" s="68">
        <v>-5.3908189999999996</v>
      </c>
    </row>
    <row r="42" spans="1:11" ht="12" customHeight="1">
      <c r="A42" s="266" t="s">
        <v>203</v>
      </c>
      <c r="B42" s="49"/>
      <c r="C42" s="68"/>
      <c r="D42" s="49"/>
      <c r="E42" s="68"/>
      <c r="F42" s="49"/>
      <c r="G42" s="68"/>
      <c r="H42" s="49"/>
      <c r="I42" s="68"/>
      <c r="J42" s="49"/>
      <c r="K42" s="68"/>
    </row>
    <row r="43" spans="1:11" ht="12" customHeight="1">
      <c r="A43" s="266"/>
      <c r="B43" s="49">
        <v>23461.13</v>
      </c>
      <c r="C43" s="68"/>
      <c r="D43" s="49">
        <v>24515.21</v>
      </c>
      <c r="E43" s="68">
        <v>4.4928780000000001</v>
      </c>
      <c r="F43" s="49">
        <v>29829.39</v>
      </c>
      <c r="G43" s="68">
        <v>21.677073</v>
      </c>
      <c r="H43" s="49">
        <v>30713.37</v>
      </c>
      <c r="I43" s="68">
        <v>2.9634529999999999</v>
      </c>
      <c r="J43" s="49">
        <v>19563.52</v>
      </c>
      <c r="K43" s="68">
        <v>-36.30292</v>
      </c>
    </row>
    <row r="44" spans="1:11" ht="12" customHeight="1">
      <c r="A44" s="270" t="s">
        <v>204</v>
      </c>
      <c r="B44" s="49"/>
      <c r="C44" s="68"/>
      <c r="D44" s="49"/>
      <c r="E44" s="68"/>
      <c r="F44" s="49"/>
      <c r="G44" s="68"/>
      <c r="H44" s="49"/>
      <c r="I44" s="68"/>
      <c r="J44" s="49"/>
      <c r="K44" s="68"/>
    </row>
    <row r="45" spans="1:11" ht="12" customHeight="1">
      <c r="A45" s="270"/>
      <c r="B45" s="27" t="s">
        <v>205</v>
      </c>
      <c r="C45" s="68" t="s">
        <v>206</v>
      </c>
      <c r="D45" s="27" t="s">
        <v>207</v>
      </c>
      <c r="E45" s="68" t="s">
        <v>208</v>
      </c>
      <c r="F45" s="27" t="s">
        <v>209</v>
      </c>
      <c r="G45" s="68" t="s">
        <v>210</v>
      </c>
      <c r="H45" s="27" t="s">
        <v>211</v>
      </c>
      <c r="I45" s="68" t="s">
        <v>212</v>
      </c>
      <c r="J45" s="27" t="s">
        <v>456</v>
      </c>
      <c r="K45" s="68" t="s">
        <v>457</v>
      </c>
    </row>
    <row r="46" spans="1:11" ht="12" customHeight="1">
      <c r="A46" s="266" t="s">
        <v>18</v>
      </c>
      <c r="B46" s="49"/>
      <c r="C46" s="68"/>
      <c r="D46" s="49"/>
      <c r="E46" s="68"/>
      <c r="F46" s="49"/>
      <c r="G46" s="68"/>
      <c r="H46" s="49"/>
      <c r="I46" s="68"/>
      <c r="J46" s="49"/>
      <c r="K46" s="68"/>
    </row>
    <row r="47" spans="1:11" ht="12" customHeight="1">
      <c r="A47" s="266"/>
      <c r="B47" s="49">
        <v>13806.65</v>
      </c>
      <c r="C47" s="68">
        <v>28.574728</v>
      </c>
      <c r="D47" s="49">
        <v>12983.13</v>
      </c>
      <c r="E47" s="68">
        <v>-5.9646619999999997</v>
      </c>
      <c r="F47" s="49">
        <v>11426.68</v>
      </c>
      <c r="G47" s="68">
        <v>-11.988249</v>
      </c>
      <c r="H47" s="49">
        <v>4691.72</v>
      </c>
      <c r="I47" s="68">
        <v>-58.940655</v>
      </c>
      <c r="J47" s="49">
        <v>-17.66</v>
      </c>
      <c r="K47" s="68">
        <v>-100.376408</v>
      </c>
    </row>
    <row r="48" spans="1:11" ht="12" customHeight="1">
      <c r="A48" s="266" t="s">
        <v>19</v>
      </c>
      <c r="B48" s="49"/>
      <c r="C48" s="68"/>
      <c r="D48" s="49"/>
      <c r="E48" s="68"/>
      <c r="F48" s="49"/>
      <c r="G48" s="68"/>
      <c r="H48" s="49"/>
      <c r="I48" s="68"/>
      <c r="J48" s="49"/>
      <c r="K48" s="68"/>
    </row>
    <row r="49" spans="1:11" ht="12" customHeight="1">
      <c r="A49" s="266"/>
      <c r="B49" s="49">
        <v>49844.160000000003</v>
      </c>
      <c r="C49" s="68">
        <v>-3.458583</v>
      </c>
      <c r="D49" s="49">
        <v>70381.759999999995</v>
      </c>
      <c r="E49" s="68">
        <v>41.203623</v>
      </c>
      <c r="F49" s="49">
        <v>58992.73</v>
      </c>
      <c r="G49" s="68">
        <v>-16.181792000000002</v>
      </c>
      <c r="H49" s="49">
        <v>60205.63</v>
      </c>
      <c r="I49" s="68">
        <v>2.0560160000000001</v>
      </c>
      <c r="J49" s="49">
        <v>66606.22</v>
      </c>
      <c r="K49" s="68">
        <v>10.631214999999999</v>
      </c>
    </row>
    <row r="50" spans="1:11" ht="12" customHeight="1" thickBot="1">
      <c r="A50" s="8"/>
      <c r="B50" s="49"/>
      <c r="C50" s="68"/>
      <c r="D50" s="49"/>
      <c r="E50" s="68"/>
      <c r="F50" s="49"/>
      <c r="G50" s="68"/>
      <c r="H50" s="49"/>
      <c r="I50" s="68"/>
      <c r="J50" s="27" t="s">
        <v>355</v>
      </c>
      <c r="K50" s="68" t="s">
        <v>356</v>
      </c>
    </row>
    <row r="51" spans="1:11" ht="12" customHeight="1">
      <c r="A51" s="265" t="s">
        <v>20</v>
      </c>
      <c r="B51" s="6"/>
      <c r="C51" s="79"/>
      <c r="D51" s="6"/>
      <c r="E51" s="79"/>
      <c r="F51" s="6"/>
      <c r="G51" s="79"/>
      <c r="H51" s="6"/>
      <c r="I51" s="79"/>
      <c r="J51" s="6"/>
      <c r="K51" s="79"/>
    </row>
    <row r="52" spans="1:11" ht="12" customHeight="1">
      <c r="A52" s="266"/>
      <c r="B52" s="49"/>
      <c r="C52" s="68"/>
      <c r="D52" s="49"/>
      <c r="E52" s="68"/>
      <c r="F52" s="49"/>
      <c r="G52" s="68"/>
      <c r="H52" s="49"/>
      <c r="I52" s="68"/>
      <c r="J52" s="49"/>
      <c r="K52" s="68"/>
    </row>
    <row r="53" spans="1:11" ht="12" customHeight="1">
      <c r="A53" s="266" t="s">
        <v>21</v>
      </c>
      <c r="B53" s="49"/>
      <c r="C53" s="68"/>
      <c r="D53" s="49"/>
      <c r="E53" s="68"/>
      <c r="F53" s="49"/>
      <c r="G53" s="68"/>
      <c r="H53" s="49"/>
      <c r="I53" s="68"/>
      <c r="J53" s="49"/>
      <c r="K53" s="68"/>
    </row>
    <row r="54" spans="1:11" ht="12" customHeight="1">
      <c r="A54" s="266"/>
      <c r="B54" s="49">
        <v>257853.33</v>
      </c>
      <c r="C54" s="68">
        <v>22.8</v>
      </c>
      <c r="D54" s="49">
        <v>294325.81</v>
      </c>
      <c r="E54" s="68">
        <v>14.144660999999999</v>
      </c>
      <c r="F54" s="49">
        <v>328341.53999999998</v>
      </c>
      <c r="G54" s="68">
        <v>11.557169</v>
      </c>
      <c r="H54" s="49">
        <v>322789.73</v>
      </c>
      <c r="I54" s="68">
        <v>-1.6908639999999999</v>
      </c>
      <c r="J54" s="49">
        <v>194301.68</v>
      </c>
      <c r="K54" s="68">
        <v>-39.805495000000001</v>
      </c>
    </row>
    <row r="55" spans="1:11" ht="12" customHeight="1">
      <c r="A55" s="266" t="s">
        <v>26</v>
      </c>
      <c r="B55" s="49"/>
      <c r="C55" s="68"/>
      <c r="D55" s="49"/>
      <c r="E55" s="68"/>
      <c r="F55" s="49"/>
      <c r="G55" s="68"/>
      <c r="H55" s="49"/>
      <c r="I55" s="68"/>
      <c r="J55" s="49"/>
      <c r="K55" s="68"/>
    </row>
    <row r="56" spans="1:11" ht="12" customHeight="1">
      <c r="A56" s="266"/>
      <c r="B56" s="49">
        <v>67011.100000000006</v>
      </c>
      <c r="C56" s="68">
        <v>20.100000000000001</v>
      </c>
      <c r="D56" s="49">
        <v>68475.259999999995</v>
      </c>
      <c r="E56" s="68">
        <v>2.1849509999999999</v>
      </c>
      <c r="F56" s="49">
        <v>81293.289999999994</v>
      </c>
      <c r="G56" s="68">
        <v>18.719213</v>
      </c>
      <c r="H56" s="49">
        <v>73845.259999999995</v>
      </c>
      <c r="I56" s="68">
        <v>-9.1619250000000001</v>
      </c>
      <c r="J56" s="49">
        <v>54269.983469999999</v>
      </c>
      <c r="K56" s="68">
        <v>-26.508507999999999</v>
      </c>
    </row>
    <row r="57" spans="1:11" ht="12" customHeight="1">
      <c r="A57" s="266" t="s">
        <v>23</v>
      </c>
      <c r="B57" s="49"/>
      <c r="C57" s="68"/>
      <c r="D57" s="49"/>
      <c r="E57" s="68"/>
      <c r="F57" s="49"/>
      <c r="G57" s="68"/>
      <c r="H57" s="49"/>
      <c r="I57" s="68"/>
      <c r="J57" s="49"/>
      <c r="K57" s="68"/>
    </row>
    <row r="58" spans="1:11" ht="12" customHeight="1">
      <c r="A58" s="266"/>
      <c r="B58" s="49">
        <v>111945.15</v>
      </c>
      <c r="C58" s="68">
        <v>27.915474</v>
      </c>
      <c r="D58" s="49">
        <v>144666.71</v>
      </c>
      <c r="E58" s="68">
        <v>29.229993</v>
      </c>
      <c r="F58" s="49">
        <v>127142.42</v>
      </c>
      <c r="G58" s="68">
        <v>-12.113561000000001</v>
      </c>
      <c r="H58" s="49">
        <v>126487.53</v>
      </c>
      <c r="I58" s="68">
        <v>-0.51508399999999999</v>
      </c>
      <c r="J58" s="49">
        <v>100752.84</v>
      </c>
      <c r="K58" s="68">
        <v>-20.345634</v>
      </c>
    </row>
    <row r="59" spans="1:11" ht="12" customHeight="1">
      <c r="A59" s="266" t="s">
        <v>24</v>
      </c>
      <c r="B59" s="49"/>
      <c r="C59" s="68"/>
      <c r="D59" s="49"/>
      <c r="E59" s="68"/>
      <c r="F59" s="49"/>
      <c r="G59" s="68"/>
      <c r="H59" s="49"/>
      <c r="I59" s="68"/>
      <c r="J59" s="49"/>
      <c r="K59" s="68"/>
    </row>
    <row r="60" spans="1:11" ht="12" customHeight="1" thickBot="1">
      <c r="A60" s="271"/>
      <c r="B60" s="77">
        <v>10225.030000000001</v>
      </c>
      <c r="C60" s="82">
        <v>17.040603999999998</v>
      </c>
      <c r="D60" s="77">
        <v>9458.57</v>
      </c>
      <c r="E60" s="82">
        <v>-7.4959189999999998</v>
      </c>
      <c r="F60" s="77">
        <v>7008.62</v>
      </c>
      <c r="G60" s="82">
        <v>-25.901907000000001</v>
      </c>
      <c r="H60" s="77">
        <v>11770.28</v>
      </c>
      <c r="I60" s="82">
        <v>67.940050999999997</v>
      </c>
      <c r="J60" s="77">
        <v>5298.49</v>
      </c>
      <c r="K60" s="82">
        <v>-54.984164</v>
      </c>
    </row>
    <row r="61" spans="1:11" ht="7.5" customHeight="1">
      <c r="C61" s="15"/>
      <c r="D61" s="14"/>
      <c r="E61" s="15"/>
      <c r="F61" s="14"/>
      <c r="G61" s="15"/>
      <c r="H61" s="14"/>
      <c r="I61" s="15"/>
      <c r="J61" s="14"/>
      <c r="K61" s="15"/>
    </row>
    <row r="62" spans="1:11" ht="11.9" customHeight="1">
      <c r="A62" s="13" t="s">
        <v>280</v>
      </c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65" t="s">
        <v>277</v>
      </c>
      <c r="B63" s="14"/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6"/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3"/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/>
      <c r="B66" s="14"/>
      <c r="C66" s="15"/>
      <c r="D66" s="14"/>
      <c r="E66" s="15"/>
      <c r="F66" s="14"/>
      <c r="G66" s="15"/>
      <c r="H66" s="14"/>
      <c r="I66" s="15"/>
      <c r="J66" s="14"/>
      <c r="K66" s="15"/>
    </row>
    <row r="67" spans="1:11" ht="11.9" customHeight="1">
      <c r="A67" s="13"/>
      <c r="B67" s="14"/>
      <c r="C67" s="15"/>
      <c r="D67" s="14"/>
      <c r="E67" s="15"/>
      <c r="F67" s="14"/>
      <c r="G67" s="15"/>
      <c r="H67" s="14"/>
      <c r="I67" s="15"/>
      <c r="J67" s="14"/>
      <c r="K67" s="15"/>
    </row>
    <row r="68" spans="1:11" ht="11.9" customHeight="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</row>
    <row r="69" spans="1:11" ht="11.9" customHeight="1">
      <c r="A69" s="13"/>
      <c r="B69" s="14"/>
      <c r="C69" s="15"/>
      <c r="D69" s="14"/>
      <c r="E69" s="15"/>
      <c r="F69" s="14"/>
      <c r="G69" s="15"/>
      <c r="H69" s="14"/>
      <c r="I69" s="15"/>
      <c r="J69" s="14"/>
      <c r="K69" s="15"/>
    </row>
    <row r="70" spans="1:11" ht="11.9" customHeight="1">
      <c r="A70" s="13"/>
      <c r="B70" s="14"/>
      <c r="C70" s="15"/>
      <c r="D70" s="14"/>
      <c r="E70" s="15"/>
      <c r="F70" s="14"/>
      <c r="G70" s="15"/>
      <c r="H70" s="14"/>
      <c r="I70" s="15"/>
      <c r="J70" s="14"/>
      <c r="K70" s="15"/>
    </row>
    <row r="71" spans="1:11" ht="11.9" customHeight="1">
      <c r="A71" s="13"/>
      <c r="B71" s="14"/>
      <c r="C71" s="15"/>
      <c r="D71" s="14"/>
      <c r="E71" s="15"/>
      <c r="F71" s="14"/>
      <c r="G71" s="15"/>
      <c r="H71" s="14"/>
      <c r="I71" s="15"/>
      <c r="J71" s="14"/>
      <c r="K71" s="15"/>
    </row>
    <row r="72" spans="1:11" ht="11.9" customHeight="1">
      <c r="A72" s="13"/>
      <c r="B72" s="14"/>
      <c r="C72" s="15"/>
      <c r="D72" s="14"/>
      <c r="E72" s="15"/>
      <c r="F72" s="14"/>
      <c r="G72" s="15"/>
      <c r="H72" s="14"/>
      <c r="I72" s="15"/>
      <c r="J72" s="14"/>
      <c r="K72" s="15"/>
    </row>
    <row r="73" spans="1:11" ht="11.9" customHeight="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</row>
    <row r="74" spans="1:11" ht="11.9" customHeight="1">
      <c r="A74" s="13"/>
      <c r="B74" s="14"/>
      <c r="C74" s="15"/>
      <c r="D74" s="14"/>
      <c r="E74" s="15"/>
      <c r="F74" s="14"/>
      <c r="G74" s="15"/>
      <c r="H74" s="14"/>
      <c r="I74" s="15"/>
      <c r="J74" s="14"/>
      <c r="K74" s="15"/>
    </row>
    <row r="75" spans="1:11" ht="11.9" customHeight="1">
      <c r="A75" s="13"/>
      <c r="B75" s="14"/>
      <c r="C75" s="15"/>
      <c r="D75" s="14"/>
      <c r="E75" s="15"/>
      <c r="F75" s="14"/>
      <c r="G75" s="15"/>
      <c r="H75" s="14"/>
      <c r="I75" s="15"/>
      <c r="J75" s="14"/>
      <c r="K75" s="15"/>
    </row>
    <row r="76" spans="1:11" ht="11.9" customHeight="1">
      <c r="A76" s="13"/>
      <c r="B76" s="14"/>
      <c r="C76" s="15"/>
      <c r="D76" s="14"/>
      <c r="E76" s="15"/>
      <c r="F76" s="14"/>
      <c r="G76" s="15"/>
      <c r="H76" s="14"/>
      <c r="I76" s="15"/>
      <c r="J76" s="14"/>
      <c r="K76" s="15"/>
    </row>
    <row r="77" spans="1:11" ht="11.9" customHeight="1">
      <c r="A77" s="13"/>
      <c r="B77" s="14"/>
      <c r="C77" s="15"/>
      <c r="D77" s="14"/>
      <c r="E77" s="15"/>
      <c r="F77" s="14"/>
      <c r="G77" s="15"/>
      <c r="H77" s="14"/>
      <c r="I77" s="15"/>
      <c r="J77" s="14"/>
      <c r="K77" s="15"/>
    </row>
    <row r="78" spans="1:11" ht="11.9" customHeight="1">
      <c r="A78" s="13"/>
      <c r="B78" s="14"/>
      <c r="C78" s="15"/>
      <c r="D78" s="14"/>
      <c r="E78" s="15"/>
      <c r="F78" s="14"/>
      <c r="G78" s="15"/>
      <c r="H78" s="14"/>
      <c r="I78" s="15"/>
      <c r="J78" s="14"/>
      <c r="K78" s="15"/>
    </row>
    <row r="79" spans="1:11" ht="11.9" customHeight="1">
      <c r="A79" s="13"/>
      <c r="B79" s="14"/>
      <c r="C79" s="15"/>
      <c r="D79" s="14"/>
      <c r="E79" s="15"/>
      <c r="F79" s="14"/>
      <c r="G79" s="15"/>
      <c r="H79" s="14"/>
      <c r="I79" s="15"/>
      <c r="J79" s="14"/>
      <c r="K79" s="15"/>
    </row>
    <row r="80" spans="1:11" ht="11.9" customHeight="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</row>
    <row r="81" spans="1:11" ht="11.9" customHeight="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</row>
    <row r="82" spans="1:11" ht="11.9" customHeight="1">
      <c r="A82" s="13"/>
      <c r="B82" s="14"/>
      <c r="C82" s="15"/>
      <c r="D82" s="14"/>
      <c r="E82" s="15"/>
      <c r="F82" s="14"/>
      <c r="G82" s="15"/>
      <c r="H82" s="14"/>
      <c r="I82" s="15"/>
      <c r="J82" s="14"/>
      <c r="K82" s="15"/>
    </row>
    <row r="83" spans="1:11" ht="11.9" customHeight="1">
      <c r="A83" s="13"/>
      <c r="B83" s="14"/>
      <c r="C83" s="15"/>
      <c r="D83" s="14"/>
      <c r="E83" s="15"/>
      <c r="F83" s="14"/>
      <c r="G83" s="15"/>
      <c r="H83" s="14"/>
      <c r="I83" s="15"/>
      <c r="J83" s="14"/>
      <c r="K83" s="15"/>
    </row>
    <row r="84" spans="1:11" ht="11.9" customHeight="1">
      <c r="A84" s="13"/>
      <c r="B84" s="14"/>
      <c r="C84" s="15"/>
      <c r="D84" s="14"/>
      <c r="E84" s="15"/>
      <c r="F84" s="14"/>
      <c r="G84" s="15"/>
      <c r="H84" s="14"/>
      <c r="I84" s="15"/>
      <c r="J84" s="14"/>
      <c r="K84" s="15"/>
    </row>
    <row r="85" spans="1:11" ht="11.9" customHeight="1">
      <c r="A85" s="13"/>
      <c r="B85" s="14"/>
      <c r="C85" s="15"/>
      <c r="D85" s="14"/>
      <c r="E85" s="15"/>
      <c r="F85" s="14"/>
      <c r="G85" s="15"/>
      <c r="H85" s="14"/>
      <c r="I85" s="15"/>
      <c r="J85" s="14"/>
      <c r="K85" s="15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0" ht="11.9" customHeight="1"/>
    <row r="121" spans="1:10" s="15" customFormat="1"/>
    <row r="122" spans="1:10" s="15" customFormat="1"/>
    <row r="123" spans="1:10" s="15" customFormat="1"/>
    <row r="124" spans="1:10" s="15" customFormat="1"/>
    <row r="125" spans="1:10" s="15" customFormat="1"/>
    <row r="126" spans="1:10" s="15" customFormat="1"/>
    <row r="127" spans="1:10" s="15" customFormat="1"/>
    <row r="128" spans="1:10" s="15" customFormat="1">
      <c r="A128" s="13"/>
      <c r="B128" s="14"/>
      <c r="D128" s="14"/>
      <c r="F128" s="14"/>
      <c r="H128" s="14"/>
      <c r="J128" s="14"/>
    </row>
    <row r="129" spans="1:10" s="15" customFormat="1">
      <c r="A129" s="13"/>
      <c r="B129" s="14"/>
      <c r="D129" s="14"/>
      <c r="F129" s="14"/>
      <c r="H129" s="14"/>
      <c r="J129" s="14"/>
    </row>
    <row r="130" spans="1:10" s="15" customFormat="1">
      <c r="B130" s="14"/>
      <c r="D130" s="14"/>
      <c r="F130" s="14"/>
      <c r="H130" s="14"/>
      <c r="J130" s="14"/>
    </row>
    <row r="131" spans="1:10" s="15" customFormat="1">
      <c r="B131" s="14"/>
      <c r="D131" s="14"/>
      <c r="F131" s="14"/>
      <c r="H131" s="14"/>
      <c r="J131" s="14"/>
    </row>
    <row r="132" spans="1:10" s="15" customFormat="1">
      <c r="B132" s="14"/>
      <c r="D132" s="14"/>
      <c r="F132" s="14"/>
      <c r="H132" s="14"/>
      <c r="J132" s="14"/>
    </row>
    <row r="133" spans="1:10">
      <c r="A133" s="15"/>
      <c r="B133" s="14"/>
      <c r="D133" s="14"/>
      <c r="F133" s="14"/>
      <c r="H133" s="14"/>
      <c r="J133" s="14"/>
    </row>
    <row r="134" spans="1:10">
      <c r="A134" s="15"/>
      <c r="B134" s="14"/>
      <c r="D134" s="14"/>
      <c r="F134" s="14"/>
      <c r="H134" s="14"/>
      <c r="J134" s="14"/>
    </row>
    <row r="135" spans="1:10">
      <c r="A135" s="15"/>
      <c r="B135" s="14"/>
      <c r="D135" s="14"/>
      <c r="F135" s="14"/>
      <c r="H135" s="14"/>
      <c r="J135" s="14"/>
    </row>
    <row r="136" spans="1:10">
      <c r="A136" s="13"/>
      <c r="B136" s="14"/>
      <c r="D136" s="14"/>
      <c r="F136" s="14"/>
      <c r="H136" s="14"/>
      <c r="J136" s="14"/>
    </row>
    <row r="137" spans="1:10">
      <c r="A137" s="13"/>
      <c r="B137" s="14"/>
      <c r="D137" s="14"/>
      <c r="F137" s="14"/>
      <c r="H137" s="14"/>
      <c r="J137" s="14"/>
    </row>
    <row r="138" spans="1:10">
      <c r="A138" s="13"/>
      <c r="B138" s="14"/>
      <c r="D138" s="14"/>
      <c r="F138" s="14"/>
      <c r="H138" s="14"/>
      <c r="J138" s="14"/>
    </row>
    <row r="139" spans="1:10">
      <c r="A139" s="13"/>
      <c r="B139" s="14"/>
      <c r="D139" s="14"/>
      <c r="F139" s="14"/>
      <c r="H139" s="14"/>
      <c r="J139" s="14"/>
    </row>
    <row r="140" spans="1:10">
      <c r="A140" s="13"/>
      <c r="B140" s="14"/>
      <c r="D140" s="14"/>
      <c r="F140" s="14"/>
      <c r="H140" s="14"/>
      <c r="J140" s="14"/>
    </row>
    <row r="141" spans="1:10">
      <c r="A141" s="13"/>
      <c r="B141" s="14"/>
      <c r="D141" s="14"/>
      <c r="F141" s="14"/>
      <c r="H141" s="14"/>
      <c r="J141" s="14"/>
    </row>
    <row r="142" spans="1:10">
      <c r="A142" s="13"/>
      <c r="B142" s="14"/>
      <c r="D142" s="14"/>
      <c r="F142" s="14"/>
      <c r="H142" s="14"/>
      <c r="J142" s="14"/>
    </row>
    <row r="143" spans="1:10">
      <c r="A143" s="15"/>
      <c r="B143" s="14"/>
      <c r="D143" s="14"/>
      <c r="F143" s="14"/>
      <c r="H143" s="14"/>
      <c r="J143" s="14"/>
    </row>
    <row r="144" spans="1:10">
      <c r="A144" s="15"/>
      <c r="B144" s="14"/>
      <c r="D144" s="14"/>
      <c r="F144" s="14"/>
      <c r="H144" s="14"/>
      <c r="J144" s="14"/>
    </row>
  </sheetData>
  <mergeCells count="33">
    <mergeCell ref="A36:A37"/>
    <mergeCell ref="A57:A58"/>
    <mergeCell ref="A59:A60"/>
    <mergeCell ref="A48:A49"/>
    <mergeCell ref="A51:A52"/>
    <mergeCell ref="A53:A54"/>
    <mergeCell ref="A55:A56"/>
    <mergeCell ref="A38:A39"/>
    <mergeCell ref="A40:A41"/>
    <mergeCell ref="A22:A23"/>
    <mergeCell ref="A24:A25"/>
    <mergeCell ref="A42:A43"/>
    <mergeCell ref="A46:A47"/>
    <mergeCell ref="A44:A45"/>
    <mergeCell ref="A28:A29"/>
    <mergeCell ref="A30:A31"/>
    <mergeCell ref="A32:A33"/>
    <mergeCell ref="A34:A35"/>
    <mergeCell ref="A26:A27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0" orientation="landscape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80E1D-9C31-45E1-8870-143709097F34}">
  <dimension ref="A1:K96"/>
  <sheetViews>
    <sheetView view="pageBreakPreview" zoomScaleNormal="100" workbookViewId="0"/>
  </sheetViews>
  <sheetFormatPr defaultColWidth="9" defaultRowHeight="11"/>
  <cols>
    <col min="1" max="1" width="23.6328125" style="2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A1" s="23" t="s">
        <v>27</v>
      </c>
      <c r="D1" s="1" t="s">
        <v>28</v>
      </c>
    </row>
    <row r="3" spans="1:11" ht="11.5" thickBot="1">
      <c r="K3" s="3" t="s">
        <v>2</v>
      </c>
    </row>
    <row r="4" spans="1:11" ht="12" customHeight="1" thickBot="1">
      <c r="A4" s="267" t="s">
        <v>3</v>
      </c>
      <c r="B4" s="263" t="s">
        <v>261</v>
      </c>
      <c r="C4" s="263"/>
      <c r="D4" s="263" t="s">
        <v>263</v>
      </c>
      <c r="E4" s="264"/>
      <c r="F4" s="263" t="s">
        <v>265</v>
      </c>
      <c r="G4" s="264"/>
      <c r="H4" s="263" t="s">
        <v>267</v>
      </c>
      <c r="I4" s="264"/>
      <c r="J4" s="263" t="s">
        <v>269</v>
      </c>
      <c r="K4" s="264"/>
    </row>
    <row r="5" spans="1:11" ht="25" customHeight="1" thickBot="1">
      <c r="A5" s="268"/>
      <c r="B5" s="4"/>
      <c r="C5" s="5" t="s">
        <v>4</v>
      </c>
      <c r="D5" s="4"/>
      <c r="E5" s="5" t="s">
        <v>4</v>
      </c>
      <c r="F5" s="4"/>
      <c r="G5" s="5" t="s">
        <v>4</v>
      </c>
      <c r="H5" s="4"/>
      <c r="I5" s="5" t="s">
        <v>4</v>
      </c>
      <c r="J5" s="4"/>
      <c r="K5" s="5" t="s">
        <v>4</v>
      </c>
    </row>
    <row r="6" spans="1:11" ht="12" customHeight="1">
      <c r="A6" s="265" t="s">
        <v>5</v>
      </c>
      <c r="B6" s="6"/>
      <c r="C6" s="7"/>
      <c r="D6" s="6"/>
      <c r="E6" s="7"/>
      <c r="F6" s="6"/>
      <c r="G6" s="7"/>
      <c r="H6" s="6"/>
      <c r="I6" s="7"/>
      <c r="J6" s="6"/>
      <c r="K6" s="7"/>
    </row>
    <row r="7" spans="1:11" ht="12" customHeight="1">
      <c r="A7" s="266"/>
      <c r="B7" s="9">
        <v>435750.55</v>
      </c>
      <c r="C7" s="10">
        <v>18.667911</v>
      </c>
      <c r="D7" s="9">
        <v>477034.4</v>
      </c>
      <c r="E7" s="10">
        <v>9.4741929999999996</v>
      </c>
      <c r="F7" s="9">
        <v>492854.55</v>
      </c>
      <c r="G7" s="10">
        <v>3.316354</v>
      </c>
      <c r="H7" s="9">
        <v>494522.69</v>
      </c>
      <c r="I7" s="10">
        <v>0.33846500000000002</v>
      </c>
      <c r="J7" s="9">
        <v>293545.58853000001</v>
      </c>
      <c r="K7" s="10">
        <v>-40.640622999999998</v>
      </c>
    </row>
    <row r="8" spans="1:11" ht="12" customHeight="1">
      <c r="A8" s="266" t="s">
        <v>6</v>
      </c>
      <c r="B8" s="9"/>
      <c r="C8" s="10"/>
      <c r="D8" s="9"/>
      <c r="E8" s="10"/>
      <c r="F8" s="9"/>
      <c r="G8" s="10"/>
      <c r="H8" s="9"/>
      <c r="I8" s="10"/>
      <c r="J8" s="29" t="s">
        <v>288</v>
      </c>
      <c r="K8" s="20" t="s">
        <v>289</v>
      </c>
    </row>
    <row r="9" spans="1:11" ht="12" customHeight="1">
      <c r="A9" s="266"/>
      <c r="B9" s="9">
        <v>184419.78</v>
      </c>
      <c r="C9" s="10">
        <v>23.436133999999999</v>
      </c>
      <c r="D9" s="9">
        <v>194886.63</v>
      </c>
      <c r="E9" s="10">
        <v>5.6755570000000004</v>
      </c>
      <c r="F9" s="9">
        <v>210234.09</v>
      </c>
      <c r="G9" s="10">
        <v>7.8750710000000002</v>
      </c>
      <c r="H9" s="9">
        <v>213642.31</v>
      </c>
      <c r="I9" s="10">
        <v>1.6211549999999999</v>
      </c>
      <c r="J9" s="9">
        <v>67154.67</v>
      </c>
      <c r="K9" s="10">
        <v>-68.566773999999995</v>
      </c>
    </row>
    <row r="10" spans="1:11" ht="12" customHeight="1">
      <c r="A10" s="64"/>
      <c r="B10" s="9"/>
      <c r="C10" s="10"/>
      <c r="D10" s="9"/>
      <c r="E10" s="10"/>
      <c r="F10" s="9"/>
      <c r="G10" s="10"/>
      <c r="H10" s="9"/>
      <c r="I10" s="10"/>
      <c r="J10" s="9"/>
      <c r="K10" s="10"/>
    </row>
    <row r="11" spans="1:11" ht="12" customHeight="1">
      <c r="A11" s="64" t="s">
        <v>290</v>
      </c>
      <c r="B11" s="9">
        <v>251330.77</v>
      </c>
      <c r="C11" s="10">
        <v>15.396986</v>
      </c>
      <c r="D11" s="9">
        <v>282147.77</v>
      </c>
      <c r="E11" s="10">
        <v>12.261531</v>
      </c>
      <c r="F11" s="9">
        <v>282620.46000000002</v>
      </c>
      <c r="G11" s="10">
        <v>0.16753299999999999</v>
      </c>
      <c r="H11" s="9">
        <v>280880.38</v>
      </c>
      <c r="I11" s="10">
        <v>-0.61569499999999999</v>
      </c>
      <c r="J11" s="9">
        <v>226390.91853</v>
      </c>
      <c r="K11" s="10">
        <v>-19.399526000000002</v>
      </c>
    </row>
    <row r="12" spans="1:11" ht="12" customHeight="1" thickBot="1">
      <c r="A12" s="67"/>
      <c r="B12" s="11"/>
      <c r="C12" s="12"/>
      <c r="D12" s="11"/>
      <c r="E12" s="12"/>
      <c r="F12" s="11"/>
      <c r="G12" s="12"/>
      <c r="H12" s="11"/>
      <c r="I12" s="12"/>
      <c r="J12" s="31" t="s">
        <v>291</v>
      </c>
      <c r="K12" s="21" t="s">
        <v>292</v>
      </c>
    </row>
    <row r="13" spans="1:11" ht="7.5" customHeight="1">
      <c r="A13" s="13"/>
      <c r="B13" s="14"/>
      <c r="C13" s="15"/>
      <c r="D13" s="14"/>
      <c r="E13" s="15"/>
      <c r="F13" s="14"/>
      <c r="G13" s="15"/>
      <c r="H13" s="14"/>
      <c r="I13" s="15"/>
      <c r="J13" s="14"/>
      <c r="K13" s="15"/>
    </row>
    <row r="14" spans="1:11" ht="11.9" customHeight="1">
      <c r="A14" s="13" t="s">
        <v>280</v>
      </c>
      <c r="B14" s="14"/>
      <c r="C14" s="15"/>
      <c r="D14" s="14"/>
      <c r="E14" s="15"/>
      <c r="F14" s="14"/>
      <c r="G14" s="15"/>
      <c r="H14" s="14"/>
      <c r="I14" s="15"/>
      <c r="J14" s="14"/>
      <c r="K14" s="15"/>
    </row>
    <row r="15" spans="1:11" ht="11.9" customHeight="1">
      <c r="A15" s="65" t="s">
        <v>277</v>
      </c>
      <c r="B15" s="14"/>
      <c r="C15" s="15"/>
      <c r="D15" s="14"/>
      <c r="E15" s="15"/>
      <c r="F15" s="14"/>
      <c r="G15" s="15"/>
      <c r="H15" s="14"/>
      <c r="I15" s="15"/>
      <c r="J15" s="14"/>
      <c r="K15" s="15"/>
    </row>
    <row r="16" spans="1:11" ht="11.9" customHeight="1">
      <c r="A16" s="16"/>
      <c r="B16" s="14"/>
      <c r="C16" s="15"/>
      <c r="D16" s="14"/>
      <c r="E16" s="15"/>
      <c r="F16" s="14"/>
      <c r="G16" s="15"/>
      <c r="H16" s="14"/>
      <c r="I16" s="15"/>
      <c r="J16" s="14"/>
      <c r="K16" s="15"/>
    </row>
    <row r="17" spans="1:11" ht="11.9" customHeight="1">
      <c r="A17" s="13"/>
      <c r="B17" s="14"/>
      <c r="C17" s="15"/>
      <c r="D17" s="14"/>
      <c r="E17" s="15"/>
      <c r="F17" s="14"/>
      <c r="G17" s="15"/>
      <c r="H17" s="14"/>
      <c r="I17" s="15"/>
      <c r="J17" s="14"/>
      <c r="K17" s="15"/>
    </row>
    <row r="18" spans="1:11" ht="11.9" customHeight="1">
      <c r="A18" s="13"/>
      <c r="B18" s="14"/>
      <c r="C18" s="15"/>
      <c r="D18" s="14"/>
      <c r="E18" s="15"/>
      <c r="F18" s="14"/>
      <c r="G18" s="15"/>
      <c r="H18" s="14"/>
      <c r="I18" s="15"/>
      <c r="J18" s="14"/>
      <c r="K18" s="15"/>
    </row>
    <row r="19" spans="1:11" ht="11.9" customHeight="1">
      <c r="A19" s="13"/>
      <c r="B19" s="14"/>
      <c r="C19" s="15"/>
      <c r="D19" s="14"/>
      <c r="E19" s="15"/>
      <c r="F19" s="14"/>
      <c r="G19" s="15"/>
      <c r="H19" s="14"/>
      <c r="I19" s="15"/>
      <c r="J19" s="14"/>
      <c r="K19" s="15"/>
    </row>
    <row r="20" spans="1:11" ht="11.9" customHeight="1">
      <c r="A20" s="13"/>
      <c r="B20" s="14"/>
      <c r="C20" s="15"/>
      <c r="D20" s="14"/>
      <c r="E20" s="15"/>
      <c r="F20" s="14"/>
      <c r="G20" s="15"/>
      <c r="H20" s="14"/>
      <c r="I20" s="15"/>
      <c r="J20" s="14"/>
      <c r="K20" s="15"/>
    </row>
    <row r="21" spans="1:11" ht="11.9" customHeight="1">
      <c r="A21" s="13"/>
      <c r="B21" s="14"/>
      <c r="C21" s="15"/>
      <c r="D21" s="14"/>
      <c r="E21" s="15"/>
      <c r="F21" s="14"/>
      <c r="G21" s="15"/>
      <c r="H21" s="14"/>
      <c r="I21" s="15"/>
      <c r="J21" s="14"/>
      <c r="K21" s="15"/>
    </row>
    <row r="22" spans="1:11" ht="11.9" customHeight="1">
      <c r="A22" s="13"/>
      <c r="B22" s="14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13"/>
      <c r="B23" s="14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/>
      <c r="B24" s="14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spans="1:10" ht="11.9" customHeight="1"/>
    <row r="77" spans="1:10" s="15" customFormat="1"/>
    <row r="78" spans="1:10" s="15" customFormat="1"/>
    <row r="79" spans="1:10" s="15" customFormat="1"/>
    <row r="80" spans="1:10" s="15" customFormat="1">
      <c r="A80" s="13"/>
      <c r="B80" s="14"/>
      <c r="D80" s="14"/>
      <c r="F80" s="14"/>
      <c r="H80" s="14"/>
      <c r="J80" s="14"/>
    </row>
    <row r="81" spans="1:10">
      <c r="A81" s="13"/>
      <c r="B81" s="14"/>
      <c r="D81" s="14"/>
      <c r="F81" s="14"/>
      <c r="H81" s="14"/>
      <c r="J81" s="14"/>
    </row>
    <row r="82" spans="1:10">
      <c r="A82" s="15"/>
      <c r="B82" s="14"/>
      <c r="D82" s="14"/>
      <c r="F82" s="14"/>
      <c r="H82" s="14"/>
      <c r="J82" s="14"/>
    </row>
    <row r="83" spans="1:10">
      <c r="A83" s="15"/>
      <c r="B83" s="14"/>
      <c r="D83" s="14"/>
      <c r="F83" s="14"/>
      <c r="H83" s="14"/>
      <c r="J83" s="14"/>
    </row>
    <row r="84" spans="1:10">
      <c r="A84" s="15"/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5"/>
      <c r="B87" s="14"/>
      <c r="D87" s="14"/>
      <c r="F87" s="14"/>
      <c r="H87" s="14"/>
      <c r="J87" s="14"/>
    </row>
    <row r="88" spans="1:10">
      <c r="A88" s="13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3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</sheetData>
  <mergeCells count="8"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3B2AE-3EC8-4174-A5C2-5121C4122B2C}">
  <dimension ref="A1:K144"/>
  <sheetViews>
    <sheetView showGridLines="0" view="pageBreakPreview" zoomScaleNormal="75" workbookViewId="0"/>
  </sheetViews>
  <sheetFormatPr defaultColWidth="9" defaultRowHeight="11"/>
  <cols>
    <col min="1" max="1" width="34.6328125" style="2" bestFit="1" customWidth="1"/>
    <col min="2" max="11" width="10.6328125" style="2" customWidth="1"/>
    <col min="12" max="16384" width="9" style="2"/>
  </cols>
  <sheetData>
    <row r="1" spans="1:11" ht="19">
      <c r="B1" s="1" t="s">
        <v>29</v>
      </c>
    </row>
    <row r="3" spans="1:11" ht="11.5" thickBot="1">
      <c r="K3" s="3" t="s">
        <v>30</v>
      </c>
    </row>
    <row r="4" spans="1:11" ht="12" customHeight="1" thickBot="1">
      <c r="A4" s="267" t="s">
        <v>3</v>
      </c>
      <c r="B4" s="273" t="s">
        <v>31</v>
      </c>
      <c r="C4" s="273"/>
      <c r="D4" s="273"/>
      <c r="E4" s="273"/>
      <c r="F4" s="273"/>
      <c r="G4" s="273" t="s">
        <v>32</v>
      </c>
      <c r="H4" s="273"/>
      <c r="I4" s="273"/>
      <c r="J4" s="273"/>
      <c r="K4" s="273"/>
    </row>
    <row r="5" spans="1:11" ht="12" customHeight="1" thickBot="1">
      <c r="A5" s="268"/>
      <c r="B5" s="24">
        <v>2004</v>
      </c>
      <c r="C5" s="24">
        <v>2005</v>
      </c>
      <c r="D5" s="24">
        <v>2006</v>
      </c>
      <c r="E5" s="24">
        <v>2007</v>
      </c>
      <c r="F5" s="24" t="s">
        <v>271</v>
      </c>
      <c r="G5" s="24">
        <v>2004</v>
      </c>
      <c r="H5" s="24">
        <v>2005</v>
      </c>
      <c r="I5" s="24">
        <v>2006</v>
      </c>
      <c r="J5" s="24">
        <v>2007</v>
      </c>
      <c r="K5" s="24" t="s">
        <v>271</v>
      </c>
    </row>
    <row r="6" spans="1:11" ht="12" customHeight="1">
      <c r="A6" s="265" t="s">
        <v>5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ht="12" customHeight="1">
      <c r="A7" s="266"/>
      <c r="B7" s="75">
        <v>3.0678969999999999</v>
      </c>
      <c r="C7" s="75">
        <v>3.1631049999999998</v>
      </c>
      <c r="D7" s="75">
        <v>3.14635</v>
      </c>
      <c r="E7" s="75">
        <v>3.1295510000000002</v>
      </c>
      <c r="F7" s="75">
        <v>1.946321</v>
      </c>
      <c r="G7" s="75">
        <v>3.1473420000000001</v>
      </c>
      <c r="H7" s="75">
        <v>3.427619</v>
      </c>
      <c r="I7" s="75">
        <v>3.471492</v>
      </c>
      <c r="J7" s="75">
        <v>3.38503</v>
      </c>
      <c r="K7" s="75">
        <v>2.3512879999999998</v>
      </c>
    </row>
    <row r="8" spans="1:11" ht="12" customHeight="1">
      <c r="A8" s="266" t="s">
        <v>6</v>
      </c>
      <c r="B8" s="75"/>
      <c r="C8" s="75"/>
      <c r="D8" s="75"/>
      <c r="E8" s="75"/>
      <c r="F8" s="68" t="s">
        <v>293</v>
      </c>
      <c r="G8" s="75"/>
      <c r="H8" s="75"/>
      <c r="I8" s="75"/>
      <c r="J8" s="75"/>
      <c r="K8" s="68" t="s">
        <v>295</v>
      </c>
    </row>
    <row r="9" spans="1:11" ht="12" customHeight="1">
      <c r="A9" s="266"/>
      <c r="B9" s="75">
        <v>4.5014630000000002</v>
      </c>
      <c r="C9" s="75">
        <v>4.4802049999999998</v>
      </c>
      <c r="D9" s="75">
        <v>4.6683849999999998</v>
      </c>
      <c r="E9" s="75">
        <v>4.5291110000000003</v>
      </c>
      <c r="F9" s="75">
        <v>1.508915</v>
      </c>
      <c r="G9" s="75">
        <v>4.7529890000000004</v>
      </c>
      <c r="H9" s="75">
        <v>5.0079190000000002</v>
      </c>
      <c r="I9" s="75">
        <v>5.2864149999999999</v>
      </c>
      <c r="J9" s="75">
        <v>5.0646279999999999</v>
      </c>
      <c r="K9" s="75">
        <v>2.2883599999999999</v>
      </c>
    </row>
    <row r="10" spans="1:11" ht="12" customHeight="1">
      <c r="A10" s="266" t="s">
        <v>7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</row>
    <row r="11" spans="1:11" ht="12" customHeight="1">
      <c r="A11" s="266"/>
      <c r="B11" s="75">
        <v>3.1519590000000002</v>
      </c>
      <c r="C11" s="75">
        <v>2.8067959999999998</v>
      </c>
      <c r="D11" s="75">
        <v>2.3595220000000001</v>
      </c>
      <c r="E11" s="75">
        <v>2.6911010000000002</v>
      </c>
      <c r="F11" s="75">
        <v>1.921246</v>
      </c>
      <c r="G11" s="75">
        <v>3.3820420000000002</v>
      </c>
      <c r="H11" s="75">
        <v>3.0596739999999998</v>
      </c>
      <c r="I11" s="75">
        <v>2.7829679999999999</v>
      </c>
      <c r="J11" s="75">
        <v>2.761879</v>
      </c>
      <c r="K11" s="75">
        <v>2.6335549999999999</v>
      </c>
    </row>
    <row r="12" spans="1:11" ht="12" customHeight="1">
      <c r="A12" s="266" t="s">
        <v>8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1:11" ht="12" customHeight="1">
      <c r="A13" s="266"/>
      <c r="B13" s="75">
        <v>9.3268529999999998</v>
      </c>
      <c r="C13" s="75">
        <v>7.8474700000000004</v>
      </c>
      <c r="D13" s="75">
        <v>8.5039599999999993</v>
      </c>
      <c r="E13" s="75">
        <v>8.0350599999999996</v>
      </c>
      <c r="F13" s="75">
        <v>4.9841530000000001</v>
      </c>
      <c r="G13" s="75">
        <v>9.8205810000000007</v>
      </c>
      <c r="H13" s="75">
        <v>8.6164269999999998</v>
      </c>
      <c r="I13" s="75">
        <v>9.351756</v>
      </c>
      <c r="J13" s="75">
        <v>8.5949340000000003</v>
      </c>
      <c r="K13" s="75">
        <v>5.4943710000000001</v>
      </c>
    </row>
    <row r="14" spans="1:11" s="76" customFormat="1" ht="12" customHeight="1">
      <c r="A14" s="269" t="s">
        <v>9</v>
      </c>
      <c r="B14" s="26"/>
      <c r="C14" s="26"/>
      <c r="D14" s="26"/>
      <c r="E14" s="26"/>
      <c r="F14" s="26"/>
      <c r="G14" s="26"/>
      <c r="H14" s="26"/>
      <c r="I14" s="26"/>
      <c r="J14" s="26"/>
      <c r="K14" s="26"/>
    </row>
    <row r="15" spans="1:11" s="76" customFormat="1" ht="12" customHeight="1">
      <c r="A15" s="269"/>
      <c r="B15" s="75">
        <v>2.9432179999999999</v>
      </c>
      <c r="C15" s="75">
        <v>2.5227810000000002</v>
      </c>
      <c r="D15" s="75">
        <v>1.920401</v>
      </c>
      <c r="E15" s="75">
        <v>1.1663159999999999</v>
      </c>
      <c r="F15" s="75">
        <v>-1.0247360000000001</v>
      </c>
      <c r="G15" s="75">
        <v>2.8147799999999998</v>
      </c>
      <c r="H15" s="75">
        <v>2.5222730000000002</v>
      </c>
      <c r="I15" s="75">
        <v>2.263957</v>
      </c>
      <c r="J15" s="75">
        <v>1.386811</v>
      </c>
      <c r="K15" s="75">
        <v>-0.71981700000000004</v>
      </c>
    </row>
    <row r="16" spans="1:11" s="76" customFormat="1" ht="12" customHeight="1">
      <c r="A16" s="269" t="s">
        <v>10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</row>
    <row r="17" spans="1:11" s="76" customFormat="1" ht="12" customHeight="1">
      <c r="A17" s="269"/>
      <c r="B17" s="75">
        <v>10.223633</v>
      </c>
      <c r="C17" s="75">
        <v>11.065799999999999</v>
      </c>
      <c r="D17" s="75">
        <v>9.8739729999999994</v>
      </c>
      <c r="E17" s="75">
        <v>8.6439020000000006</v>
      </c>
      <c r="F17" s="75">
        <v>5.6844890000000001</v>
      </c>
      <c r="G17" s="75">
        <v>9.5904729999999994</v>
      </c>
      <c r="H17" s="75">
        <v>10.569430000000001</v>
      </c>
      <c r="I17" s="75">
        <v>10.006463999999999</v>
      </c>
      <c r="J17" s="75">
        <v>8.5515229999999995</v>
      </c>
      <c r="K17" s="75">
        <v>5.4541560000000002</v>
      </c>
    </row>
    <row r="18" spans="1:11" ht="12" customHeight="1">
      <c r="A18" s="266" t="s">
        <v>11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</row>
    <row r="19" spans="1:11" ht="12" customHeight="1">
      <c r="A19" s="266"/>
      <c r="B19" s="75">
        <v>3.901221</v>
      </c>
      <c r="C19" s="75">
        <v>3.6838350000000002</v>
      </c>
      <c r="D19" s="75">
        <v>3.3311839999999999</v>
      </c>
      <c r="E19" s="75">
        <v>3.689775</v>
      </c>
      <c r="F19" s="75">
        <v>2.6102460000000001</v>
      </c>
      <c r="G19" s="75">
        <v>4.0094029999999998</v>
      </c>
      <c r="H19" s="75">
        <v>3.704297</v>
      </c>
      <c r="I19" s="75">
        <v>3.7517529999999999</v>
      </c>
      <c r="J19" s="75">
        <v>3.9718659999999999</v>
      </c>
      <c r="K19" s="75">
        <v>2.9819390000000001</v>
      </c>
    </row>
    <row r="20" spans="1:11" ht="12" customHeight="1">
      <c r="A20" s="266" t="s">
        <v>12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</row>
    <row r="21" spans="1:11" ht="12" customHeight="1">
      <c r="A21" s="266"/>
      <c r="B21" s="75">
        <v>4.6549500000000004</v>
      </c>
      <c r="C21" s="75">
        <v>5.201956</v>
      </c>
      <c r="D21" s="75">
        <v>5.9455429999999998</v>
      </c>
      <c r="E21" s="75">
        <v>6.0561680000000004</v>
      </c>
      <c r="F21" s="75">
        <v>2.7074630000000002</v>
      </c>
      <c r="G21" s="75">
        <v>4.9290820000000002</v>
      </c>
      <c r="H21" s="75">
        <v>5.5241429999999996</v>
      </c>
      <c r="I21" s="75">
        <v>6.803096</v>
      </c>
      <c r="J21" s="75">
        <v>6.5550670000000002</v>
      </c>
      <c r="K21" s="75">
        <v>3.3341810000000001</v>
      </c>
    </row>
    <row r="22" spans="1:11" ht="12" customHeight="1">
      <c r="A22" s="266" t="s">
        <v>153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</row>
    <row r="23" spans="1:11" ht="12" customHeight="1">
      <c r="A23" s="266"/>
      <c r="B23" s="75">
        <v>2.7715779999999999</v>
      </c>
      <c r="C23" s="75">
        <v>3.0230739999999998</v>
      </c>
      <c r="D23" s="75">
        <v>3.8851659999999999</v>
      </c>
      <c r="E23" s="75">
        <v>3.4338899999999999</v>
      </c>
      <c r="F23" s="75">
        <v>-0.53471299999999999</v>
      </c>
      <c r="G23" s="75">
        <v>3.4334169999999999</v>
      </c>
      <c r="H23" s="75">
        <v>3.8775050000000002</v>
      </c>
      <c r="I23" s="75">
        <v>4.2063430000000004</v>
      </c>
      <c r="J23" s="75">
        <v>4.3040289999999999</v>
      </c>
      <c r="K23" s="75">
        <v>0.77492099999999997</v>
      </c>
    </row>
    <row r="24" spans="1:11" ht="12" customHeight="1">
      <c r="A24" s="266" t="s">
        <v>154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</row>
    <row r="25" spans="1:11" ht="12" customHeight="1">
      <c r="A25" s="266"/>
      <c r="B25" s="75">
        <v>3.7372960000000002</v>
      </c>
      <c r="C25" s="75">
        <v>2.7755890000000001</v>
      </c>
      <c r="D25" s="75">
        <v>3.1788050000000001</v>
      </c>
      <c r="E25" s="75">
        <v>2.9853040000000002</v>
      </c>
      <c r="F25" s="75">
        <v>-2.0649820000000001</v>
      </c>
      <c r="G25" s="75">
        <v>3.938717</v>
      </c>
      <c r="H25" s="75">
        <v>2.7919809999999998</v>
      </c>
      <c r="I25" s="75">
        <v>3.7192150000000002</v>
      </c>
      <c r="J25" s="75">
        <v>3.3010100000000002</v>
      </c>
      <c r="K25" s="75">
        <v>-0.58799699999999999</v>
      </c>
    </row>
    <row r="26" spans="1:11" ht="12" customHeight="1">
      <c r="A26" s="270" t="s">
        <v>185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</row>
    <row r="27" spans="1:11" ht="12" customHeight="1">
      <c r="A27" s="270"/>
      <c r="B27" s="68" t="s">
        <v>214</v>
      </c>
      <c r="C27" s="68" t="s">
        <v>215</v>
      </c>
      <c r="D27" s="68" t="s">
        <v>216</v>
      </c>
      <c r="E27" s="68" t="s">
        <v>214</v>
      </c>
      <c r="F27" s="68" t="s">
        <v>410</v>
      </c>
      <c r="G27" s="68" t="s">
        <v>216</v>
      </c>
      <c r="H27" s="68" t="s">
        <v>217</v>
      </c>
      <c r="I27" s="68" t="s">
        <v>218</v>
      </c>
      <c r="J27" s="68" t="s">
        <v>219</v>
      </c>
      <c r="K27" s="68" t="s">
        <v>411</v>
      </c>
    </row>
    <row r="28" spans="1:11" ht="12" customHeight="1">
      <c r="A28" s="266" t="s">
        <v>13</v>
      </c>
      <c r="B28" s="26"/>
      <c r="C28" s="26"/>
      <c r="D28" s="26"/>
      <c r="E28" s="26"/>
      <c r="F28" s="26"/>
      <c r="G28" s="26"/>
      <c r="H28" s="26"/>
      <c r="I28" s="26"/>
      <c r="J28" s="26"/>
      <c r="K28" s="26"/>
    </row>
    <row r="29" spans="1:11" ht="12" customHeight="1">
      <c r="A29" s="266"/>
      <c r="B29" s="75">
        <v>4.2005350000000004</v>
      </c>
      <c r="C29" s="75">
        <v>4.7944120000000003</v>
      </c>
      <c r="D29" s="75">
        <v>4.5138749999999996</v>
      </c>
      <c r="E29" s="75">
        <v>4.4617110000000002</v>
      </c>
      <c r="F29" s="75">
        <v>-1.160987</v>
      </c>
      <c r="G29" s="75">
        <v>4.630922</v>
      </c>
      <c r="H29" s="75">
        <v>5.817437</v>
      </c>
      <c r="I29" s="75">
        <v>5.5225499999999998</v>
      </c>
      <c r="J29" s="75">
        <v>5.84511</v>
      </c>
      <c r="K29" s="75">
        <v>0.78389200000000003</v>
      </c>
    </row>
    <row r="30" spans="1:11" ht="12" customHeight="1">
      <c r="A30" s="266" t="s">
        <v>14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</row>
    <row r="31" spans="1:11" ht="12" customHeight="1">
      <c r="A31" s="266"/>
      <c r="B31" s="75">
        <v>2.48678</v>
      </c>
      <c r="C31" s="75">
        <v>2.6292140000000002</v>
      </c>
      <c r="D31" s="75">
        <v>2.5322209999999998</v>
      </c>
      <c r="E31" s="75">
        <v>2.5339640000000001</v>
      </c>
      <c r="F31" s="75">
        <v>2.129426</v>
      </c>
      <c r="G31" s="75">
        <v>2.49647</v>
      </c>
      <c r="H31" s="75">
        <v>2.7870400000000002</v>
      </c>
      <c r="I31" s="75">
        <v>2.739185</v>
      </c>
      <c r="J31" s="75">
        <v>2.6702729999999999</v>
      </c>
      <c r="K31" s="75">
        <v>2.377631</v>
      </c>
    </row>
    <row r="32" spans="1:11" ht="12" customHeight="1">
      <c r="A32" s="266" t="s">
        <v>15</v>
      </c>
      <c r="B32" s="26"/>
      <c r="C32" s="26"/>
      <c r="D32" s="26"/>
      <c r="E32" s="26"/>
      <c r="F32" s="68" t="s">
        <v>294</v>
      </c>
      <c r="G32" s="26"/>
      <c r="H32" s="26"/>
      <c r="I32" s="26"/>
      <c r="J32" s="26"/>
      <c r="K32" s="68" t="s">
        <v>295</v>
      </c>
    </row>
    <row r="33" spans="1:11" ht="12" customHeight="1">
      <c r="A33" s="266"/>
      <c r="B33" s="75">
        <v>1.7051970000000001</v>
      </c>
      <c r="C33" s="75">
        <v>1.5486139999999999</v>
      </c>
      <c r="D33" s="75">
        <v>1.743377</v>
      </c>
      <c r="E33" s="75">
        <v>1.5948599999999999</v>
      </c>
      <c r="F33" s="75">
        <v>1.027504</v>
      </c>
      <c r="G33" s="75">
        <v>1.842427</v>
      </c>
      <c r="H33" s="75">
        <v>1.6554850000000001</v>
      </c>
      <c r="I33" s="75">
        <v>1.8475090000000001</v>
      </c>
      <c r="J33" s="75">
        <v>1.7097979999999999</v>
      </c>
      <c r="K33" s="75">
        <v>1.30149</v>
      </c>
    </row>
    <row r="34" spans="1:11" ht="12" customHeight="1">
      <c r="A34" s="266" t="s">
        <v>16</v>
      </c>
      <c r="B34" s="75"/>
      <c r="C34" s="75"/>
      <c r="D34" s="75"/>
      <c r="E34" s="75"/>
      <c r="F34" s="75"/>
      <c r="G34" s="75"/>
      <c r="H34" s="75"/>
      <c r="I34" s="75"/>
      <c r="J34" s="75"/>
      <c r="K34" s="75"/>
    </row>
    <row r="35" spans="1:11" ht="12" customHeight="1">
      <c r="A35" s="266"/>
      <c r="B35" s="75">
        <v>1.2338039999999999</v>
      </c>
      <c r="C35" s="75">
        <v>1.4064859999999999</v>
      </c>
      <c r="D35" s="75">
        <v>1.156555</v>
      </c>
      <c r="E35" s="75">
        <v>1.19756</v>
      </c>
      <c r="F35" s="75">
        <v>0.92202799999999996</v>
      </c>
      <c r="G35" s="75">
        <v>1.4620770000000001</v>
      </c>
      <c r="H35" s="75">
        <v>1.7458370000000001</v>
      </c>
      <c r="I35" s="75">
        <v>1.5577460000000001</v>
      </c>
      <c r="J35" s="75">
        <v>1.495698</v>
      </c>
      <c r="K35" s="75">
        <v>1.2604150000000001</v>
      </c>
    </row>
    <row r="36" spans="1:11" ht="12" customHeight="1">
      <c r="A36" s="270" t="s">
        <v>163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</row>
    <row r="37" spans="1:11" ht="12" customHeight="1">
      <c r="A37" s="270"/>
      <c r="B37" s="68" t="s">
        <v>220</v>
      </c>
      <c r="C37" s="68" t="s">
        <v>221</v>
      </c>
      <c r="D37" s="68" t="s">
        <v>222</v>
      </c>
      <c r="E37" s="68" t="s">
        <v>220</v>
      </c>
      <c r="F37" s="68" t="s">
        <v>412</v>
      </c>
      <c r="G37" s="68" t="s">
        <v>221</v>
      </c>
      <c r="H37" s="68" t="s">
        <v>223</v>
      </c>
      <c r="I37" s="68" t="s">
        <v>224</v>
      </c>
      <c r="J37" s="68" t="s">
        <v>224</v>
      </c>
      <c r="K37" s="68" t="s">
        <v>413</v>
      </c>
    </row>
    <row r="38" spans="1:11" ht="12" customHeight="1">
      <c r="A38" s="266" t="s">
        <v>17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</row>
    <row r="39" spans="1:11" ht="12" customHeight="1">
      <c r="A39" s="266"/>
      <c r="B39" s="75">
        <v>8.0956960000000002</v>
      </c>
      <c r="C39" s="75">
        <v>9.1008139999999997</v>
      </c>
      <c r="D39" s="75">
        <v>11.045491</v>
      </c>
      <c r="E39" s="75">
        <v>11.017495</v>
      </c>
      <c r="F39" s="75">
        <v>8.7753960000000006</v>
      </c>
      <c r="G39" s="75">
        <v>6.518084</v>
      </c>
      <c r="H39" s="75">
        <v>6.7607720000000002</v>
      </c>
      <c r="I39" s="75">
        <v>10.233052000000001</v>
      </c>
      <c r="J39" s="75">
        <v>9.237311</v>
      </c>
      <c r="K39" s="75">
        <v>7.5610090000000003</v>
      </c>
    </row>
    <row r="40" spans="1:11" ht="12" customHeight="1">
      <c r="A40" s="266" t="s">
        <v>213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</row>
    <row r="41" spans="1:11" ht="12" customHeight="1">
      <c r="A41" s="266"/>
      <c r="B41" s="75">
        <v>6.0722519999999998</v>
      </c>
      <c r="C41" s="75">
        <v>6.4272520000000002</v>
      </c>
      <c r="D41" s="75">
        <v>5.8967049999999999</v>
      </c>
      <c r="E41" s="75">
        <v>6.1934300000000002</v>
      </c>
      <c r="F41" s="75">
        <v>5.9838300000000002</v>
      </c>
      <c r="G41" s="75">
        <v>6.1140869999999996</v>
      </c>
      <c r="H41" s="75">
        <v>6.7306109999999997</v>
      </c>
      <c r="I41" s="75">
        <v>6.4888070000000004</v>
      </c>
      <c r="J41" s="75">
        <v>6.7264540000000004</v>
      </c>
      <c r="K41" s="75">
        <v>6.1803710000000001</v>
      </c>
    </row>
    <row r="42" spans="1:11" ht="12" customHeight="1">
      <c r="A42" s="266" t="s">
        <v>203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</row>
    <row r="43" spans="1:11" ht="12" customHeight="1">
      <c r="A43" s="266"/>
      <c r="B43" s="75">
        <v>4.7570079999999999</v>
      </c>
      <c r="C43" s="75">
        <v>4.9546270000000003</v>
      </c>
      <c r="D43" s="75">
        <v>4.9474770000000001</v>
      </c>
      <c r="E43" s="75">
        <v>4.9135499999999999</v>
      </c>
      <c r="F43" s="75">
        <v>3.4434680000000002</v>
      </c>
      <c r="G43" s="75">
        <v>3.989754</v>
      </c>
      <c r="H43" s="75">
        <v>4.2506880000000002</v>
      </c>
      <c r="I43" s="75">
        <v>4.4064360000000002</v>
      </c>
      <c r="J43" s="75">
        <v>4.5595270000000001</v>
      </c>
      <c r="K43" s="75">
        <v>3.1461440000000001</v>
      </c>
    </row>
    <row r="44" spans="1:11" ht="12" customHeight="1">
      <c r="A44" s="270" t="s">
        <v>204</v>
      </c>
      <c r="B44" s="75"/>
      <c r="C44" s="75"/>
      <c r="D44" s="75"/>
      <c r="E44" s="75"/>
      <c r="F44" s="75"/>
      <c r="G44" s="75"/>
      <c r="H44" s="75"/>
      <c r="I44" s="75"/>
      <c r="J44" s="75"/>
      <c r="K44" s="75"/>
    </row>
    <row r="45" spans="1:11" ht="12" customHeight="1">
      <c r="A45" s="270"/>
      <c r="B45" s="68" t="s">
        <v>225</v>
      </c>
      <c r="C45" s="68" t="s">
        <v>226</v>
      </c>
      <c r="D45" s="68" t="s">
        <v>225</v>
      </c>
      <c r="E45" s="68" t="s">
        <v>227</v>
      </c>
      <c r="F45" s="68" t="s">
        <v>414</v>
      </c>
      <c r="G45" s="68" t="s">
        <v>228</v>
      </c>
      <c r="H45" s="68" t="s">
        <v>227</v>
      </c>
      <c r="I45" s="68" t="s">
        <v>225</v>
      </c>
      <c r="J45" s="68" t="s">
        <v>227</v>
      </c>
      <c r="K45" s="68" t="s">
        <v>415</v>
      </c>
    </row>
    <row r="46" spans="1:11" ht="12" customHeight="1">
      <c r="A46" s="266" t="s">
        <v>18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</row>
    <row r="47" spans="1:11" ht="12" customHeight="1">
      <c r="A47" s="266"/>
      <c r="B47" s="75">
        <v>12.771834</v>
      </c>
      <c r="C47" s="75">
        <v>10.786210000000001</v>
      </c>
      <c r="D47" s="75">
        <v>9.3110759999999999</v>
      </c>
      <c r="E47" s="75">
        <v>4.7600600000000002</v>
      </c>
      <c r="F47" s="75">
        <v>2.044902</v>
      </c>
      <c r="G47" s="75">
        <v>8.557245</v>
      </c>
      <c r="H47" s="75">
        <v>7.8469439999999997</v>
      </c>
      <c r="I47" s="75">
        <v>6.8088199999999999</v>
      </c>
      <c r="J47" s="75">
        <v>2.6805599999999998</v>
      </c>
      <c r="K47" s="259">
        <v>-9.3690000000000006E-3</v>
      </c>
    </row>
    <row r="48" spans="1:11" ht="12" customHeight="1">
      <c r="A48" s="266" t="s">
        <v>19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</row>
    <row r="49" spans="1:11" ht="12" customHeight="1">
      <c r="A49" s="266"/>
      <c r="B49" s="75">
        <v>3.1297519999999999</v>
      </c>
      <c r="C49" s="75">
        <v>2.8269000000000002</v>
      </c>
      <c r="D49" s="75">
        <v>2.9112849999999999</v>
      </c>
      <c r="E49" s="75">
        <v>3.3813870000000001</v>
      </c>
      <c r="F49" s="75">
        <v>3.4202240000000002</v>
      </c>
      <c r="G49" s="75">
        <v>3.2553230000000002</v>
      </c>
      <c r="H49" s="75">
        <v>3.413386</v>
      </c>
      <c r="I49" s="75">
        <v>3.1944159999999999</v>
      </c>
      <c r="J49" s="75">
        <v>3.6558570000000001</v>
      </c>
      <c r="K49" s="75">
        <v>4.1438139999999999</v>
      </c>
    </row>
    <row r="50" spans="1:11" ht="12" customHeight="1" thickBot="1">
      <c r="A50" s="8"/>
      <c r="B50" s="26"/>
      <c r="C50" s="26"/>
      <c r="D50" s="26"/>
      <c r="E50" s="26"/>
      <c r="F50" s="68" t="s">
        <v>357</v>
      </c>
      <c r="G50" s="26"/>
      <c r="H50" s="26"/>
      <c r="I50" s="26"/>
      <c r="J50" s="26"/>
      <c r="K50" s="68" t="s">
        <v>296</v>
      </c>
    </row>
    <row r="51" spans="1:11" ht="12" customHeight="1">
      <c r="A51" s="265" t="s">
        <v>20</v>
      </c>
      <c r="B51" s="74"/>
      <c r="C51" s="74"/>
      <c r="D51" s="74"/>
      <c r="E51" s="74"/>
      <c r="F51" s="74"/>
      <c r="G51" s="74"/>
      <c r="H51" s="74"/>
      <c r="I51" s="74"/>
      <c r="J51" s="74"/>
      <c r="K51" s="74"/>
    </row>
    <row r="52" spans="1:11" ht="12" customHeight="1">
      <c r="A52" s="266"/>
      <c r="B52" s="75"/>
      <c r="C52" s="75"/>
      <c r="D52" s="75"/>
      <c r="E52" s="75"/>
      <c r="F52" s="75"/>
      <c r="G52" s="75"/>
      <c r="H52" s="75"/>
      <c r="I52" s="75"/>
      <c r="J52" s="75"/>
      <c r="K52" s="75"/>
    </row>
    <row r="53" spans="1:11" ht="12" customHeight="1">
      <c r="A53" s="266" t="s">
        <v>33</v>
      </c>
      <c r="B53" s="26"/>
      <c r="C53" s="26"/>
      <c r="D53" s="26"/>
      <c r="E53" s="26"/>
      <c r="F53" s="26"/>
      <c r="G53" s="26"/>
      <c r="H53" s="26"/>
      <c r="I53" s="26"/>
      <c r="J53" s="26"/>
      <c r="K53" s="26"/>
    </row>
    <row r="54" spans="1:11" ht="12" customHeight="1">
      <c r="A54" s="266"/>
      <c r="B54" s="75">
        <v>4.7548440000000003</v>
      </c>
      <c r="C54" s="75">
        <v>4.9112840000000002</v>
      </c>
      <c r="D54" s="75">
        <v>5.0470179999999996</v>
      </c>
      <c r="E54" s="75">
        <v>4.755687</v>
      </c>
      <c r="F54" s="75">
        <v>2.725155</v>
      </c>
      <c r="G54" s="75">
        <v>4.7816229999999997</v>
      </c>
      <c r="H54" s="75">
        <v>5.2074429999999996</v>
      </c>
      <c r="I54" s="75">
        <v>5.49064</v>
      </c>
      <c r="J54" s="75">
        <v>5.1889190000000003</v>
      </c>
      <c r="K54" s="75">
        <v>3.3036819999999998</v>
      </c>
    </row>
    <row r="55" spans="1:11" ht="12" customHeight="1">
      <c r="A55" s="266" t="s">
        <v>26</v>
      </c>
      <c r="B55" s="75"/>
      <c r="C55" s="75"/>
      <c r="D55" s="75"/>
      <c r="E55" s="75"/>
      <c r="F55" s="75"/>
      <c r="G55" s="75"/>
      <c r="H55" s="75"/>
      <c r="I55" s="75"/>
      <c r="J55" s="75"/>
      <c r="K55" s="75"/>
    </row>
    <row r="56" spans="1:11" ht="12" customHeight="1">
      <c r="A56" s="266"/>
      <c r="B56" s="75">
        <v>2.8694139999999999</v>
      </c>
      <c r="C56" s="75">
        <v>2.9421080000000002</v>
      </c>
      <c r="D56" s="75">
        <v>3.0105970000000002</v>
      </c>
      <c r="E56" s="75">
        <v>2.966237</v>
      </c>
      <c r="F56" s="75">
        <v>2.2536079999999998</v>
      </c>
      <c r="G56" s="75">
        <v>2.8780299999999999</v>
      </c>
      <c r="H56" s="75">
        <v>2.9651510000000001</v>
      </c>
      <c r="I56" s="75">
        <v>3.1999979999999999</v>
      </c>
      <c r="J56" s="75">
        <v>3.0669789999999999</v>
      </c>
      <c r="K56" s="75">
        <v>2.3091719999999998</v>
      </c>
    </row>
    <row r="57" spans="1:11" ht="12" customHeight="1">
      <c r="A57" s="266" t="s">
        <v>23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</row>
    <row r="58" spans="1:11" ht="12" customHeight="1">
      <c r="A58" s="266"/>
      <c r="B58" s="75">
        <v>1.962486</v>
      </c>
      <c r="C58" s="75">
        <v>2.1378849999999998</v>
      </c>
      <c r="D58" s="75">
        <v>1.905467</v>
      </c>
      <c r="E58" s="75">
        <v>1.9866760000000001</v>
      </c>
      <c r="F58" s="75">
        <v>1.4980009999999999</v>
      </c>
      <c r="G58" s="75">
        <v>2.0951469999999999</v>
      </c>
      <c r="H58" s="75">
        <v>2.4078300000000001</v>
      </c>
      <c r="I58" s="75">
        <v>2.1659359999999999</v>
      </c>
      <c r="J58" s="75">
        <v>2.086109</v>
      </c>
      <c r="K58" s="75">
        <v>1.777439</v>
      </c>
    </row>
    <row r="59" spans="1:11" ht="12" customHeight="1">
      <c r="A59" s="266" t="s">
        <v>24</v>
      </c>
      <c r="B59" s="75"/>
      <c r="C59" s="75"/>
      <c r="D59" s="75"/>
      <c r="E59" s="75"/>
      <c r="F59" s="75"/>
      <c r="G59" s="75"/>
      <c r="H59" s="75"/>
      <c r="I59" s="75"/>
      <c r="J59" s="75"/>
      <c r="K59" s="75"/>
    </row>
    <row r="60" spans="1:11" ht="12" customHeight="1" thickBot="1">
      <c r="A60" s="271"/>
      <c r="B60" s="78">
        <v>0.67341499999999999</v>
      </c>
      <c r="C60" s="78">
        <v>0.27494099999999999</v>
      </c>
      <c r="D60" s="78">
        <v>0.21254200000000001</v>
      </c>
      <c r="E60" s="78">
        <v>0.61312299999999997</v>
      </c>
      <c r="F60" s="78">
        <v>-0.38982600000000001</v>
      </c>
      <c r="G60" s="78">
        <v>0.89730100000000002</v>
      </c>
      <c r="H60" s="78">
        <v>0.85084199999999999</v>
      </c>
      <c r="I60" s="78">
        <v>0.55021500000000001</v>
      </c>
      <c r="J60" s="78">
        <v>1.060495</v>
      </c>
      <c r="K60" s="78">
        <v>0.44823299999999999</v>
      </c>
    </row>
    <row r="61" spans="1:11" ht="7.5" customHeight="1">
      <c r="A61" s="13"/>
      <c r="B61" s="14"/>
      <c r="C61" s="15"/>
      <c r="D61" s="14"/>
      <c r="E61" s="15"/>
      <c r="F61" s="14"/>
      <c r="G61" s="14"/>
      <c r="H61" s="15"/>
      <c r="I61" s="14"/>
      <c r="J61" s="15"/>
      <c r="K61" s="14"/>
    </row>
    <row r="62" spans="1:11" ht="11.9" customHeight="1">
      <c r="A62" s="13" t="s">
        <v>280</v>
      </c>
      <c r="B62" s="14"/>
      <c r="C62" s="15"/>
      <c r="D62" s="14"/>
      <c r="E62" s="15"/>
      <c r="F62" s="14"/>
      <c r="G62" s="14"/>
      <c r="H62" s="15"/>
      <c r="I62" s="14"/>
      <c r="J62" s="15"/>
      <c r="K62" s="14"/>
    </row>
    <row r="63" spans="1:11" ht="11.9" customHeight="1">
      <c r="A63" s="65" t="s">
        <v>305</v>
      </c>
      <c r="B63" s="14"/>
      <c r="C63" s="15"/>
      <c r="D63" s="14"/>
      <c r="E63" s="15"/>
      <c r="F63" s="14"/>
      <c r="G63" s="14"/>
      <c r="H63" s="15"/>
      <c r="I63" s="14"/>
      <c r="J63" s="15"/>
      <c r="K63" s="14"/>
    </row>
    <row r="64" spans="1:11" ht="11.9" customHeight="1">
      <c r="A64" s="16"/>
      <c r="B64" s="14"/>
      <c r="C64" s="15"/>
      <c r="D64" s="14"/>
      <c r="E64" s="15"/>
      <c r="F64" s="14"/>
      <c r="G64" s="14"/>
      <c r="H64" s="15"/>
      <c r="I64" s="14"/>
      <c r="J64" s="15"/>
      <c r="K64" s="14"/>
    </row>
    <row r="65" spans="1:11" ht="11.9" customHeight="1">
      <c r="A65" s="13"/>
      <c r="B65" s="14"/>
      <c r="C65" s="15"/>
      <c r="D65" s="14"/>
      <c r="E65" s="15"/>
      <c r="F65" s="14"/>
      <c r="G65" s="14"/>
      <c r="H65" s="15"/>
      <c r="I65" s="14"/>
      <c r="J65" s="15"/>
      <c r="K65" s="14"/>
    </row>
    <row r="66" spans="1:11" ht="11.9" customHeight="1">
      <c r="A66" s="13"/>
      <c r="B66" s="14"/>
      <c r="C66" s="15"/>
      <c r="D66" s="14"/>
      <c r="E66" s="15"/>
      <c r="F66" s="14"/>
      <c r="G66" s="14"/>
      <c r="H66" s="15"/>
      <c r="I66" s="14"/>
      <c r="J66" s="15"/>
      <c r="K66" s="14"/>
    </row>
    <row r="67" spans="1:11" ht="11.9" customHeight="1">
      <c r="A67" s="13"/>
      <c r="B67" s="14"/>
      <c r="C67" s="15"/>
      <c r="D67" s="14"/>
      <c r="E67" s="15"/>
      <c r="F67" s="14"/>
      <c r="G67" s="14"/>
      <c r="H67" s="15"/>
      <c r="I67" s="14"/>
      <c r="J67" s="15"/>
      <c r="K67" s="14"/>
    </row>
    <row r="68" spans="1:11" ht="11.9" customHeight="1">
      <c r="A68" s="13"/>
      <c r="B68" s="14"/>
      <c r="C68" s="15"/>
      <c r="D68" s="14"/>
      <c r="E68" s="15"/>
      <c r="F68" s="14"/>
      <c r="G68" s="14"/>
      <c r="H68" s="15"/>
      <c r="I68" s="14"/>
      <c r="J68" s="15"/>
      <c r="K68" s="14"/>
    </row>
    <row r="69" spans="1:11" ht="11.9" customHeight="1">
      <c r="A69" s="13"/>
      <c r="B69" s="14"/>
      <c r="C69" s="15"/>
      <c r="D69" s="14"/>
      <c r="E69" s="15"/>
      <c r="F69" s="14"/>
      <c r="G69" s="14"/>
      <c r="H69" s="15"/>
      <c r="I69" s="14"/>
      <c r="J69" s="15"/>
      <c r="K69" s="14"/>
    </row>
    <row r="70" spans="1:11" ht="11.9" customHeight="1">
      <c r="A70" s="13"/>
      <c r="B70" s="14"/>
      <c r="C70" s="15"/>
      <c r="D70" s="14"/>
      <c r="E70" s="15"/>
      <c r="F70" s="14"/>
      <c r="G70" s="14"/>
      <c r="H70" s="15"/>
      <c r="I70" s="14"/>
      <c r="J70" s="15"/>
      <c r="K70" s="14"/>
    </row>
    <row r="71" spans="1:11" ht="11.9" customHeight="1">
      <c r="A71" s="13"/>
      <c r="B71" s="14"/>
      <c r="C71" s="15"/>
      <c r="D71" s="14"/>
      <c r="E71" s="15"/>
      <c r="F71" s="14"/>
      <c r="G71" s="14"/>
      <c r="H71" s="15"/>
      <c r="I71" s="14"/>
      <c r="J71" s="15"/>
      <c r="K71" s="14"/>
    </row>
    <row r="72" spans="1:11" ht="11.9" customHeight="1">
      <c r="A72" s="13"/>
      <c r="B72" s="14"/>
      <c r="C72" s="15"/>
      <c r="D72" s="14"/>
      <c r="E72" s="15"/>
      <c r="F72" s="14"/>
      <c r="G72" s="14"/>
      <c r="H72" s="15"/>
      <c r="I72" s="14"/>
      <c r="J72" s="15"/>
      <c r="K72" s="14"/>
    </row>
    <row r="73" spans="1:11" ht="11.9" customHeight="1">
      <c r="A73" s="13"/>
      <c r="B73" s="14"/>
      <c r="C73" s="15"/>
      <c r="D73" s="14"/>
      <c r="E73" s="15"/>
      <c r="F73" s="14"/>
      <c r="G73" s="14"/>
      <c r="H73" s="15"/>
      <c r="I73" s="14"/>
      <c r="J73" s="15"/>
      <c r="K73" s="14"/>
    </row>
    <row r="74" spans="1:11" ht="11.9" customHeight="1">
      <c r="A74" s="13"/>
      <c r="B74" s="14"/>
      <c r="C74" s="15"/>
      <c r="D74" s="14"/>
      <c r="E74" s="15"/>
      <c r="F74" s="14"/>
      <c r="G74" s="14"/>
      <c r="H74" s="15"/>
      <c r="I74" s="14"/>
      <c r="J74" s="15"/>
      <c r="K74" s="14"/>
    </row>
    <row r="75" spans="1:11" ht="11.9" customHeight="1">
      <c r="A75" s="13"/>
      <c r="B75" s="14"/>
      <c r="C75" s="15"/>
      <c r="D75" s="14"/>
      <c r="E75" s="15"/>
      <c r="F75" s="14"/>
      <c r="G75" s="14"/>
      <c r="H75" s="15"/>
      <c r="I75" s="14"/>
      <c r="J75" s="15"/>
      <c r="K75" s="14"/>
    </row>
    <row r="76" spans="1:11" ht="11.9" customHeight="1">
      <c r="A76" s="13"/>
      <c r="B76" s="14"/>
      <c r="C76" s="15"/>
      <c r="D76" s="14"/>
      <c r="E76" s="15"/>
      <c r="F76" s="14"/>
      <c r="G76" s="14"/>
      <c r="H76" s="15"/>
      <c r="I76" s="14"/>
      <c r="J76" s="15"/>
      <c r="K76" s="14"/>
    </row>
    <row r="77" spans="1:11" ht="11.9" customHeight="1">
      <c r="A77" s="13"/>
      <c r="B77" s="14"/>
      <c r="C77" s="15"/>
      <c r="D77" s="14"/>
      <c r="E77" s="15"/>
      <c r="F77" s="14"/>
      <c r="G77" s="14"/>
      <c r="H77" s="15"/>
      <c r="I77" s="14"/>
      <c r="J77" s="15"/>
      <c r="K77" s="14"/>
    </row>
    <row r="78" spans="1:11" ht="11.9" customHeight="1">
      <c r="A78" s="13"/>
      <c r="B78" s="14"/>
      <c r="C78" s="15"/>
      <c r="D78" s="14"/>
      <c r="E78" s="15"/>
      <c r="F78" s="14"/>
      <c r="G78" s="14"/>
      <c r="H78" s="15"/>
      <c r="I78" s="14"/>
      <c r="J78" s="15"/>
      <c r="K78" s="14"/>
    </row>
    <row r="79" spans="1:11" ht="11.9" customHeight="1">
      <c r="A79" s="13"/>
      <c r="B79" s="14"/>
      <c r="C79" s="15"/>
      <c r="D79" s="14"/>
      <c r="E79" s="15"/>
      <c r="F79" s="14"/>
      <c r="G79" s="14"/>
      <c r="H79" s="15"/>
      <c r="I79" s="14"/>
      <c r="J79" s="15"/>
      <c r="K79" s="14"/>
    </row>
    <row r="80" spans="1:11" ht="11.9" customHeight="1">
      <c r="A80" s="13"/>
      <c r="B80" s="14"/>
      <c r="C80" s="15"/>
      <c r="D80" s="14"/>
      <c r="E80" s="15"/>
      <c r="F80" s="14"/>
      <c r="G80" s="14"/>
      <c r="H80" s="15"/>
      <c r="I80" s="14"/>
      <c r="J80" s="15"/>
      <c r="K80" s="14"/>
    </row>
    <row r="81" spans="1:11" ht="11.9" customHeight="1">
      <c r="A81" s="13"/>
      <c r="B81" s="14"/>
      <c r="C81" s="15"/>
      <c r="D81" s="14"/>
      <c r="E81" s="15"/>
      <c r="F81" s="14"/>
      <c r="G81" s="14"/>
      <c r="H81" s="15"/>
      <c r="I81" s="14"/>
      <c r="J81" s="15"/>
      <c r="K81" s="14"/>
    </row>
    <row r="82" spans="1:11" ht="11.9" customHeight="1">
      <c r="A82" s="13"/>
      <c r="B82" s="14"/>
      <c r="C82" s="15"/>
      <c r="D82" s="14"/>
      <c r="E82" s="15"/>
      <c r="F82" s="14"/>
      <c r="G82" s="14"/>
      <c r="H82" s="15"/>
      <c r="I82" s="14"/>
      <c r="J82" s="15"/>
      <c r="K82" s="14"/>
    </row>
    <row r="83" spans="1:11" ht="11.9" customHeight="1">
      <c r="A83" s="13"/>
      <c r="B83" s="14"/>
      <c r="C83" s="15"/>
      <c r="D83" s="14"/>
      <c r="E83" s="15"/>
      <c r="F83" s="14"/>
      <c r="G83" s="14"/>
      <c r="H83" s="15"/>
      <c r="I83" s="14"/>
      <c r="J83" s="15"/>
      <c r="K83" s="14"/>
    </row>
    <row r="84" spans="1:11" ht="11.9" customHeight="1">
      <c r="A84" s="13"/>
      <c r="B84" s="14"/>
      <c r="C84" s="15"/>
      <c r="D84" s="14"/>
      <c r="E84" s="15"/>
      <c r="F84" s="14"/>
      <c r="G84" s="14"/>
      <c r="H84" s="15"/>
      <c r="I84" s="14"/>
      <c r="J84" s="15"/>
      <c r="K84" s="14"/>
    </row>
    <row r="85" spans="1:11" ht="11.9" customHeight="1">
      <c r="A85" s="13"/>
      <c r="B85" s="14"/>
      <c r="C85" s="15"/>
      <c r="D85" s="14"/>
      <c r="E85" s="15"/>
      <c r="F85" s="14"/>
      <c r="G85" s="14"/>
      <c r="H85" s="15"/>
      <c r="I85" s="14"/>
      <c r="J85" s="15"/>
      <c r="K85" s="14"/>
    </row>
    <row r="86" spans="1:11" ht="11.9" customHeight="1"/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spans="1:11" ht="11.9" customHeight="1"/>
    <row r="122" spans="1:11" s="15" customFormat="1"/>
    <row r="123" spans="1:11" s="15" customFormat="1"/>
    <row r="124" spans="1:11" s="15" customFormat="1"/>
    <row r="125" spans="1:11" s="15" customFormat="1"/>
    <row r="126" spans="1:11" s="15" customFormat="1"/>
    <row r="127" spans="1:11" s="15" customFormat="1"/>
    <row r="128" spans="1:11" s="15" customFormat="1">
      <c r="A128" s="13"/>
      <c r="B128" s="14"/>
      <c r="D128" s="14"/>
      <c r="F128" s="14"/>
      <c r="G128" s="14"/>
      <c r="I128" s="14"/>
      <c r="K128" s="14"/>
    </row>
    <row r="129" spans="1:11" s="15" customFormat="1">
      <c r="A129" s="13"/>
      <c r="B129" s="14"/>
      <c r="D129" s="14"/>
      <c r="F129" s="14"/>
      <c r="G129" s="14"/>
      <c r="I129" s="14"/>
      <c r="K129" s="14"/>
    </row>
    <row r="130" spans="1:11" s="15" customFormat="1">
      <c r="B130" s="14"/>
      <c r="D130" s="14"/>
      <c r="F130" s="14"/>
      <c r="G130" s="14"/>
      <c r="I130" s="14"/>
      <c r="K130" s="14"/>
    </row>
    <row r="131" spans="1:11">
      <c r="A131" s="15"/>
      <c r="B131" s="14"/>
      <c r="D131" s="14"/>
      <c r="F131" s="14"/>
      <c r="G131" s="14"/>
      <c r="I131" s="14"/>
      <c r="K131" s="14"/>
    </row>
    <row r="132" spans="1:11">
      <c r="A132" s="15"/>
      <c r="B132" s="14"/>
      <c r="D132" s="14"/>
      <c r="F132" s="14"/>
      <c r="G132" s="14"/>
      <c r="I132" s="14"/>
      <c r="K132" s="14"/>
    </row>
    <row r="133" spans="1:11">
      <c r="A133" s="15"/>
      <c r="B133" s="14"/>
      <c r="D133" s="14"/>
      <c r="F133" s="14"/>
      <c r="G133" s="14"/>
      <c r="I133" s="14"/>
      <c r="K133" s="14"/>
    </row>
    <row r="134" spans="1:11">
      <c r="A134" s="15"/>
      <c r="B134" s="14"/>
      <c r="D134" s="14"/>
      <c r="F134" s="14"/>
      <c r="G134" s="14"/>
      <c r="I134" s="14"/>
      <c r="K134" s="14"/>
    </row>
    <row r="135" spans="1:11">
      <c r="A135" s="15"/>
      <c r="B135" s="14"/>
      <c r="D135" s="14"/>
      <c r="F135" s="14"/>
      <c r="G135" s="14"/>
      <c r="I135" s="14"/>
      <c r="K135" s="14"/>
    </row>
    <row r="136" spans="1:11">
      <c r="A136" s="13"/>
      <c r="B136" s="14"/>
      <c r="D136" s="14"/>
      <c r="F136" s="14"/>
      <c r="G136" s="14"/>
      <c r="I136" s="14"/>
      <c r="K136" s="14"/>
    </row>
    <row r="137" spans="1:11">
      <c r="A137" s="13"/>
      <c r="B137" s="14"/>
      <c r="D137" s="14"/>
      <c r="F137" s="14"/>
      <c r="G137" s="14"/>
      <c r="I137" s="14"/>
      <c r="K137" s="14"/>
    </row>
    <row r="138" spans="1:11">
      <c r="A138" s="13"/>
      <c r="B138" s="14"/>
      <c r="D138" s="14"/>
      <c r="F138" s="14"/>
      <c r="G138" s="14"/>
      <c r="I138" s="14"/>
      <c r="K138" s="14"/>
    </row>
    <row r="139" spans="1:11">
      <c r="A139" s="13"/>
      <c r="B139" s="14"/>
      <c r="D139" s="14"/>
      <c r="F139" s="14"/>
      <c r="G139" s="14"/>
      <c r="I139" s="14"/>
      <c r="K139" s="14"/>
    </row>
    <row r="140" spans="1:11">
      <c r="A140" s="13"/>
      <c r="B140" s="14"/>
      <c r="D140" s="14"/>
      <c r="F140" s="14"/>
      <c r="G140" s="14"/>
      <c r="I140" s="14"/>
      <c r="K140" s="14"/>
    </row>
    <row r="141" spans="1:11">
      <c r="A141" s="13"/>
      <c r="B141" s="14"/>
      <c r="D141" s="14"/>
      <c r="F141" s="14"/>
      <c r="G141" s="14"/>
      <c r="I141" s="14"/>
      <c r="K141" s="14"/>
    </row>
    <row r="142" spans="1:11">
      <c r="A142" s="13"/>
      <c r="B142" s="14"/>
      <c r="D142" s="14"/>
      <c r="F142" s="14"/>
      <c r="G142" s="14"/>
      <c r="I142" s="14"/>
      <c r="K142" s="14"/>
    </row>
    <row r="143" spans="1:11">
      <c r="A143" s="15"/>
      <c r="B143" s="14"/>
      <c r="D143" s="14"/>
      <c r="F143" s="14"/>
      <c r="G143" s="14"/>
      <c r="I143" s="14"/>
      <c r="K143" s="14"/>
    </row>
    <row r="144" spans="1:11">
      <c r="A144" s="15"/>
      <c r="B144" s="14"/>
      <c r="D144" s="14"/>
      <c r="F144" s="14"/>
      <c r="G144" s="14"/>
      <c r="I144" s="14"/>
      <c r="K144" s="14"/>
    </row>
  </sheetData>
  <mergeCells count="30">
    <mergeCell ref="A57:A58"/>
    <mergeCell ref="A59:A60"/>
    <mergeCell ref="A46:A47"/>
    <mergeCell ref="A48:A49"/>
    <mergeCell ref="A51:A52"/>
    <mergeCell ref="A53:A54"/>
    <mergeCell ref="A38:A39"/>
    <mergeCell ref="A40:A41"/>
    <mergeCell ref="A42:A43"/>
    <mergeCell ref="A36:A37"/>
    <mergeCell ref="A44:A45"/>
    <mergeCell ref="A55:A56"/>
    <mergeCell ref="A24:A25"/>
    <mergeCell ref="A28:A29"/>
    <mergeCell ref="A30:A31"/>
    <mergeCell ref="A32:A33"/>
    <mergeCell ref="A26:A27"/>
    <mergeCell ref="A34:A35"/>
    <mergeCell ref="A12:A13"/>
    <mergeCell ref="A14:A15"/>
    <mergeCell ref="A16:A17"/>
    <mergeCell ref="A18:A19"/>
    <mergeCell ref="A20:A21"/>
    <mergeCell ref="A22:A23"/>
    <mergeCell ref="A4:A5"/>
    <mergeCell ref="B4:F4"/>
    <mergeCell ref="G4:K4"/>
    <mergeCell ref="A6:A7"/>
    <mergeCell ref="A8:A9"/>
    <mergeCell ref="A10:A11"/>
  </mergeCells>
  <phoneticPr fontId="1"/>
  <pageMargins left="0.75" right="0.75" top="1" bottom="1" header="0.51200000000000001" footer="0.51200000000000001"/>
  <pageSetup paperSize="9" scale="64"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7CC28-79A6-4005-897E-07587B88A25F}">
  <dimension ref="A1:K96"/>
  <sheetViews>
    <sheetView showGridLines="0" view="pageBreakPreview" zoomScaleNormal="100" workbookViewId="0"/>
  </sheetViews>
  <sheetFormatPr defaultColWidth="9" defaultRowHeight="11"/>
  <cols>
    <col min="1" max="1" width="23.6328125" style="2" customWidth="1"/>
    <col min="2" max="2" width="15.6328125" style="2" customWidth="1"/>
    <col min="3" max="3" width="8.36328125" style="2" customWidth="1"/>
    <col min="4" max="4" width="15.6328125" style="2" customWidth="1"/>
    <col min="5" max="5" width="8.36328125" style="2" customWidth="1"/>
    <col min="6" max="6" width="15.6328125" style="2" customWidth="1"/>
    <col min="7" max="7" width="8.36328125" style="2" customWidth="1"/>
    <col min="8" max="8" width="15.6328125" style="2" customWidth="1"/>
    <col min="9" max="9" width="8.36328125" style="2" customWidth="1"/>
    <col min="10" max="10" width="15.6328125" style="2" customWidth="1"/>
    <col min="11" max="11" width="8.36328125" style="2" customWidth="1"/>
    <col min="12" max="16384" width="9" style="2"/>
  </cols>
  <sheetData>
    <row r="1" spans="1:11" ht="19">
      <c r="D1" s="1" t="s">
        <v>34</v>
      </c>
    </row>
    <row r="3" spans="1:11" ht="11.5" thickBot="1">
      <c r="K3" s="3" t="s">
        <v>35</v>
      </c>
    </row>
    <row r="4" spans="1:11" ht="12" customHeight="1" thickBot="1">
      <c r="A4" s="274" t="s">
        <v>36</v>
      </c>
      <c r="B4" s="263" t="s">
        <v>272</v>
      </c>
      <c r="C4" s="263"/>
      <c r="D4" s="263" t="s">
        <v>273</v>
      </c>
      <c r="E4" s="264"/>
      <c r="F4" s="263" t="s">
        <v>274</v>
      </c>
      <c r="G4" s="264"/>
      <c r="H4" s="263" t="s">
        <v>275</v>
      </c>
      <c r="I4" s="264"/>
      <c r="J4" s="263" t="s">
        <v>276</v>
      </c>
      <c r="K4" s="264"/>
    </row>
    <row r="5" spans="1:11" ht="25" customHeight="1" thickBot="1">
      <c r="A5" s="275"/>
      <c r="B5" s="4"/>
      <c r="C5" s="5" t="s">
        <v>37</v>
      </c>
      <c r="D5" s="4"/>
      <c r="E5" s="5" t="s">
        <v>37</v>
      </c>
      <c r="F5" s="4"/>
      <c r="G5" s="5" t="s">
        <v>37</v>
      </c>
      <c r="H5" s="4"/>
      <c r="I5" s="5" t="s">
        <v>37</v>
      </c>
      <c r="J5" s="4"/>
      <c r="K5" s="5" t="s">
        <v>37</v>
      </c>
    </row>
    <row r="6" spans="1:11" ht="12" customHeight="1">
      <c r="A6" s="266" t="s">
        <v>38</v>
      </c>
      <c r="B6" s="27"/>
      <c r="C6" s="28"/>
      <c r="D6" s="27"/>
      <c r="E6" s="28"/>
      <c r="F6" s="27"/>
      <c r="G6" s="28"/>
      <c r="H6" s="27"/>
      <c r="I6" s="28"/>
      <c r="J6" s="27"/>
      <c r="K6" s="28"/>
    </row>
    <row r="7" spans="1:11" ht="12" customHeight="1">
      <c r="A7" s="266"/>
      <c r="B7" s="29">
        <v>168210.1</v>
      </c>
      <c r="C7" s="30">
        <f>IF(B7="", "", IF(B7&lt;=0, "*", 100))</f>
        <v>100</v>
      </c>
      <c r="D7" s="29">
        <v>231568.61</v>
      </c>
      <c r="E7" s="30">
        <f>IF(D7="", "", IF(D7&lt;=0, "*", 100))</f>
        <v>100</v>
      </c>
      <c r="F7" s="29">
        <v>281650.05</v>
      </c>
      <c r="G7" s="30">
        <f>IF(F7="", "", IF(F7&lt;=0, "*", 100))</f>
        <v>100</v>
      </c>
      <c r="H7" s="29">
        <v>253728.32</v>
      </c>
      <c r="I7" s="30">
        <f>IF(H7="", "", IF(H7&lt;=0, "*", 100))</f>
        <v>100</v>
      </c>
      <c r="J7" s="29">
        <v>73908.980009999999</v>
      </c>
      <c r="K7" s="30">
        <v>100</v>
      </c>
    </row>
    <row r="8" spans="1:11" ht="12" customHeight="1">
      <c r="A8" s="266" t="s">
        <v>39</v>
      </c>
      <c r="B8" s="29"/>
      <c r="C8" s="28"/>
      <c r="D8" s="29"/>
      <c r="E8" s="28"/>
      <c r="F8" s="29"/>
      <c r="G8" s="28"/>
      <c r="H8" s="29"/>
      <c r="I8" s="28"/>
      <c r="J8" s="29" t="s">
        <v>297</v>
      </c>
      <c r="K8" s="28" t="s">
        <v>298</v>
      </c>
    </row>
    <row r="9" spans="1:11" ht="12" customHeight="1">
      <c r="A9" s="266"/>
      <c r="B9" s="29">
        <v>12313.22</v>
      </c>
      <c r="C9" s="30">
        <f>IF(B9="-","-",IF(B7="","",IF(B7&lt;=0,"*",B9*100/B7)))</f>
        <v>7.3201430829658856</v>
      </c>
      <c r="D9" s="29">
        <v>15224.83</v>
      </c>
      <c r="E9" s="30">
        <f>IF(D9="-","-",IF(D7="","",IF(D7&lt;=0,"*",D9*100/D7)))</f>
        <v>6.5746518925859601</v>
      </c>
      <c r="F9" s="29">
        <v>0.46</v>
      </c>
      <c r="G9" s="30">
        <f>IF(F9="-","-",IF(F7="","",IF(F7&lt;=0,"*",F9*100/F7)))</f>
        <v>1.6332324457247568E-4</v>
      </c>
      <c r="H9" s="29" t="s">
        <v>40</v>
      </c>
      <c r="I9" s="30" t="str">
        <f>IF(H9="-","-",IF(H7="","",IF(H7&lt;=0,"*",H9*100/H7)))</f>
        <v>-</v>
      </c>
      <c r="J9" s="29" t="s">
        <v>40</v>
      </c>
      <c r="K9" s="30" t="s">
        <v>40</v>
      </c>
    </row>
    <row r="10" spans="1:11" ht="12" customHeight="1">
      <c r="A10" s="266" t="s">
        <v>41</v>
      </c>
      <c r="B10" s="29"/>
      <c r="C10" s="28"/>
      <c r="D10" s="29"/>
      <c r="E10" s="28"/>
      <c r="F10" s="29"/>
      <c r="G10" s="28"/>
      <c r="H10" s="29"/>
      <c r="I10" s="28"/>
      <c r="J10" s="29" t="s">
        <v>299</v>
      </c>
      <c r="K10" s="28" t="s">
        <v>299</v>
      </c>
    </row>
    <row r="11" spans="1:11" ht="12" customHeight="1">
      <c r="A11" s="266"/>
      <c r="B11" s="29">
        <v>85848.62</v>
      </c>
      <c r="C11" s="30">
        <f>IF(B7="","", IF(B7&lt;=0,"*",B11*100/B7))</f>
        <v>51.036542989986927</v>
      </c>
      <c r="D11" s="29">
        <v>125286.08</v>
      </c>
      <c r="E11" s="30">
        <f>IF(D7="","", IF(D7&lt;=0,"*",D11*100/D7))</f>
        <v>54.103222366796608</v>
      </c>
      <c r="F11" s="29">
        <v>162174.14000000001</v>
      </c>
      <c r="G11" s="30">
        <f>IF(F7="","", IF(F7&lt;=0,"*",F11*100/F7))</f>
        <v>57.580014631632416</v>
      </c>
      <c r="H11" s="29">
        <v>140390.49</v>
      </c>
      <c r="I11" s="30">
        <f>IF(H7="","", IF(H7&lt;=0,"*",H11*100/H7))</f>
        <v>55.331028873718154</v>
      </c>
      <c r="J11" s="29">
        <v>122097.63</v>
      </c>
      <c r="K11" s="30">
        <v>165.199993266691</v>
      </c>
    </row>
    <row r="12" spans="1:11" ht="12" customHeight="1">
      <c r="A12" s="64"/>
      <c r="B12" s="29"/>
      <c r="C12" s="28"/>
      <c r="D12" s="29"/>
      <c r="E12" s="28"/>
      <c r="F12" s="29"/>
      <c r="G12" s="28"/>
      <c r="H12" s="29"/>
      <c r="I12" s="28"/>
      <c r="J12" s="29" t="s">
        <v>359</v>
      </c>
      <c r="K12" s="28" t="s">
        <v>360</v>
      </c>
    </row>
    <row r="13" spans="1:11" ht="12" customHeight="1">
      <c r="A13" s="64" t="s">
        <v>42</v>
      </c>
      <c r="B13" s="29">
        <v>70048.259999999995</v>
      </c>
      <c r="C13" s="28">
        <v>41.643313927047181</v>
      </c>
      <c r="D13" s="29">
        <v>91057.7</v>
      </c>
      <c r="E13" s="28">
        <v>39.322125740617437</v>
      </c>
      <c r="F13" s="29">
        <v>119475.45</v>
      </c>
      <c r="G13" s="28">
        <v>42.41982204512302</v>
      </c>
      <c r="H13" s="29">
        <v>113337.83</v>
      </c>
      <c r="I13" s="28">
        <v>44.668971126281839</v>
      </c>
      <c r="J13" s="29">
        <v>-48188.649989999998</v>
      </c>
      <c r="K13" s="28">
        <v>-65.199993266690996</v>
      </c>
    </row>
    <row r="14" spans="1:11" ht="12" customHeight="1" thickBot="1">
      <c r="A14" s="67"/>
      <c r="B14" s="31"/>
      <c r="C14" s="21"/>
      <c r="D14" s="31"/>
      <c r="E14" s="21"/>
      <c r="F14" s="31"/>
      <c r="G14" s="32"/>
      <c r="H14" s="31"/>
      <c r="I14" s="21"/>
      <c r="J14" s="31" t="s">
        <v>300</v>
      </c>
      <c r="K14" s="21" t="s">
        <v>301</v>
      </c>
    </row>
    <row r="15" spans="1:11" ht="8.25" customHeight="1">
      <c r="A15" s="13"/>
      <c r="C15" s="15"/>
      <c r="D15" s="14"/>
      <c r="E15" s="15"/>
      <c r="F15" s="14"/>
      <c r="G15" s="15"/>
      <c r="H15" s="14"/>
      <c r="I15" s="15"/>
      <c r="J15" s="14"/>
      <c r="K15" s="15"/>
    </row>
    <row r="16" spans="1:11" ht="11.9" customHeight="1">
      <c r="A16" s="22" t="s">
        <v>43</v>
      </c>
      <c r="B16" s="14"/>
      <c r="C16" s="15"/>
      <c r="D16" s="14"/>
      <c r="E16" s="15"/>
      <c r="F16" s="14"/>
      <c r="G16" s="15"/>
      <c r="H16" s="14"/>
      <c r="I16" s="15"/>
      <c r="J16" s="14"/>
      <c r="K16" s="15"/>
    </row>
    <row r="17" spans="1:11" ht="11.9" customHeight="1">
      <c r="A17" s="13" t="s">
        <v>44</v>
      </c>
      <c r="B17" s="14"/>
      <c r="C17" s="15"/>
      <c r="D17" s="14"/>
      <c r="E17" s="15"/>
      <c r="F17" s="14"/>
      <c r="G17" s="15"/>
      <c r="H17" s="14"/>
      <c r="I17" s="15"/>
      <c r="J17" s="14"/>
      <c r="K17" s="15"/>
    </row>
    <row r="18" spans="1:11" ht="11.9" customHeight="1">
      <c r="A18" s="13" t="s">
        <v>302</v>
      </c>
      <c r="B18" s="14"/>
      <c r="C18" s="15"/>
      <c r="D18" s="14"/>
      <c r="E18" s="15"/>
      <c r="F18" s="14"/>
      <c r="G18" s="15"/>
      <c r="H18" s="14"/>
      <c r="I18" s="15"/>
      <c r="J18" s="14"/>
      <c r="K18" s="15"/>
    </row>
    <row r="19" spans="1:11" ht="11.9" customHeight="1">
      <c r="A19" s="13" t="s">
        <v>303</v>
      </c>
      <c r="B19" s="14"/>
      <c r="C19" s="15"/>
      <c r="D19" s="14"/>
      <c r="E19" s="15"/>
      <c r="F19" s="14"/>
      <c r="G19" s="15"/>
      <c r="H19" s="14"/>
      <c r="I19" s="15"/>
      <c r="J19" s="14"/>
      <c r="K19" s="15"/>
    </row>
    <row r="20" spans="1:11" ht="11.9" customHeight="1">
      <c r="A20" s="13" t="s">
        <v>306</v>
      </c>
      <c r="B20" s="14"/>
      <c r="C20" s="15"/>
      <c r="D20" s="14"/>
      <c r="E20" s="15"/>
      <c r="F20" s="14"/>
      <c r="G20" s="15"/>
      <c r="H20" s="14"/>
      <c r="I20" s="15"/>
      <c r="J20" s="14"/>
      <c r="K20" s="15"/>
    </row>
    <row r="21" spans="1:11" ht="11.9" customHeight="1">
      <c r="A21" s="13" t="s">
        <v>304</v>
      </c>
      <c r="B21" s="14"/>
      <c r="C21" s="15"/>
      <c r="D21" s="14"/>
      <c r="E21" s="15"/>
      <c r="F21" s="14"/>
      <c r="G21" s="15"/>
      <c r="H21" s="14"/>
      <c r="I21" s="15"/>
      <c r="J21" s="14"/>
      <c r="K21" s="15"/>
    </row>
    <row r="22" spans="1:11" ht="11.9" customHeight="1">
      <c r="A22" s="13"/>
      <c r="B22" s="14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13"/>
      <c r="B23" s="14"/>
      <c r="C23" s="15"/>
      <c r="D23" s="14"/>
      <c r="E23" s="15"/>
      <c r="F23" s="14"/>
      <c r="G23" s="15"/>
      <c r="H23" s="14"/>
      <c r="I23" s="15"/>
      <c r="J23" s="14"/>
      <c r="K23" s="15"/>
    </row>
    <row r="24" spans="1:11" ht="11.9" customHeight="1">
      <c r="A24" s="13"/>
      <c r="B24" s="14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/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/>
    <row r="39" spans="1:11" ht="11.9" customHeight="1"/>
    <row r="40" spans="1:11" ht="11.9" customHeight="1"/>
    <row r="41" spans="1:11" ht="11.9" customHeight="1"/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spans="1:10" ht="11.9" customHeight="1"/>
    <row r="76" spans="1:10" s="15" customFormat="1"/>
    <row r="77" spans="1:10" s="15" customFormat="1"/>
    <row r="78" spans="1:10" s="15" customFormat="1"/>
    <row r="79" spans="1:10" s="15" customFormat="1"/>
    <row r="80" spans="1:10" s="15" customFormat="1">
      <c r="A80" s="13"/>
      <c r="B80" s="14"/>
      <c r="D80" s="14"/>
      <c r="F80" s="14"/>
      <c r="H80" s="14"/>
      <c r="J80" s="14"/>
    </row>
    <row r="81" spans="1:10" s="15" customFormat="1">
      <c r="A81" s="13"/>
      <c r="B81" s="14"/>
      <c r="D81" s="14"/>
      <c r="F81" s="14"/>
      <c r="H81" s="14"/>
      <c r="J81" s="14"/>
    </row>
    <row r="82" spans="1:10" s="15" customFormat="1">
      <c r="B82" s="14"/>
      <c r="D82" s="14"/>
      <c r="F82" s="14"/>
      <c r="H82" s="14"/>
      <c r="J82" s="14"/>
    </row>
    <row r="83" spans="1:10" s="15" customFormat="1">
      <c r="B83" s="14"/>
      <c r="D83" s="14"/>
      <c r="F83" s="14"/>
      <c r="H83" s="14"/>
      <c r="J83" s="14"/>
    </row>
    <row r="84" spans="1:10" s="15" customFormat="1"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5"/>
      <c r="B87" s="14"/>
      <c r="D87" s="14"/>
      <c r="F87" s="14"/>
      <c r="H87" s="14"/>
      <c r="J87" s="14"/>
    </row>
    <row r="88" spans="1:10">
      <c r="A88" s="13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3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</sheetData>
  <mergeCells count="9">
    <mergeCell ref="A10:A1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A4D5F-0AA2-44A8-8E21-6E06EF4193DB}">
  <dimension ref="A1:K97"/>
  <sheetViews>
    <sheetView showGridLines="0" view="pageBreakPreview" zoomScaleNormal="100" workbookViewId="0"/>
  </sheetViews>
  <sheetFormatPr defaultColWidth="9" defaultRowHeight="11"/>
  <cols>
    <col min="1" max="1" width="30.6328125" style="2" customWidth="1"/>
    <col min="2" max="2" width="12.6328125" style="2" customWidth="1"/>
    <col min="3" max="3" width="8.08984375" style="2" customWidth="1"/>
    <col min="4" max="4" width="12.6328125" style="2" customWidth="1"/>
    <col min="5" max="5" width="8.08984375" style="2" customWidth="1"/>
    <col min="6" max="6" width="12.6328125" style="2" customWidth="1"/>
    <col min="7" max="7" width="8.08984375" style="2" customWidth="1"/>
    <col min="8" max="8" width="12.6328125" style="2" customWidth="1"/>
    <col min="9" max="9" width="8.08984375" style="2" customWidth="1"/>
    <col min="10" max="10" width="12.6328125" style="2" customWidth="1"/>
    <col min="11" max="11" width="8.08984375" style="2" customWidth="1"/>
    <col min="12" max="16384" width="9" style="2"/>
  </cols>
  <sheetData>
    <row r="1" spans="1:11" ht="19">
      <c r="D1" s="1" t="s">
        <v>45</v>
      </c>
    </row>
    <row r="3" spans="1:11" ht="11.5" thickBot="1">
      <c r="K3" s="3" t="s">
        <v>35</v>
      </c>
    </row>
    <row r="4" spans="1:11" ht="12" customHeight="1" thickBot="1">
      <c r="A4" s="267" t="s">
        <v>36</v>
      </c>
      <c r="B4" s="263" t="s">
        <v>272</v>
      </c>
      <c r="C4" s="263"/>
      <c r="D4" s="263" t="s">
        <v>273</v>
      </c>
      <c r="E4" s="264"/>
      <c r="F4" s="263" t="s">
        <v>274</v>
      </c>
      <c r="G4" s="264"/>
      <c r="H4" s="263" t="s">
        <v>275</v>
      </c>
      <c r="I4" s="264"/>
      <c r="J4" s="263" t="s">
        <v>276</v>
      </c>
      <c r="K4" s="264"/>
    </row>
    <row r="5" spans="1:11" ht="25" customHeight="1" thickBot="1">
      <c r="A5" s="268"/>
      <c r="B5" s="4"/>
      <c r="C5" s="5" t="s">
        <v>37</v>
      </c>
      <c r="D5" s="4"/>
      <c r="E5" s="5" t="s">
        <v>37</v>
      </c>
      <c r="F5" s="4"/>
      <c r="G5" s="5" t="s">
        <v>37</v>
      </c>
      <c r="H5" s="4"/>
      <c r="I5" s="5" t="s">
        <v>37</v>
      </c>
      <c r="J5" s="4"/>
      <c r="K5" s="5" t="s">
        <v>37</v>
      </c>
    </row>
    <row r="6" spans="1:11" ht="12" customHeight="1">
      <c r="A6" s="265" t="s">
        <v>46</v>
      </c>
      <c r="B6" s="33"/>
      <c r="C6" s="19"/>
      <c r="D6" s="33"/>
      <c r="E6" s="19"/>
      <c r="F6" s="33"/>
      <c r="G6" s="19"/>
      <c r="H6" s="33"/>
      <c r="I6" s="19"/>
      <c r="J6" s="33"/>
      <c r="K6" s="19"/>
    </row>
    <row r="7" spans="1:11" ht="12" customHeight="1">
      <c r="A7" s="266"/>
      <c r="B7" s="29">
        <v>2741995.51</v>
      </c>
      <c r="C7" s="30">
        <f>IF(B7="", "", IF(B7&lt;=0, "*", 100))</f>
        <v>100</v>
      </c>
      <c r="D7" s="29">
        <v>2812265.23</v>
      </c>
      <c r="E7" s="30">
        <f>IF(D7="", "", IF(D7&lt;=0, "*", 100))</f>
        <v>100</v>
      </c>
      <c r="F7" s="29">
        <v>2907755.04</v>
      </c>
      <c r="G7" s="30">
        <f>IF(F7="", "", IF(F7&lt;=0, "*", 100))</f>
        <v>100</v>
      </c>
      <c r="H7" s="29">
        <v>2854573.02</v>
      </c>
      <c r="I7" s="30">
        <f>IF(H7="", "", IF(H7&lt;=0, "*", 100))</f>
        <v>100</v>
      </c>
      <c r="J7" s="29">
        <v>2643278.0685299998</v>
      </c>
      <c r="K7" s="30">
        <v>100</v>
      </c>
    </row>
    <row r="8" spans="1:11" ht="12" customHeight="1">
      <c r="A8" s="266" t="s">
        <v>47</v>
      </c>
      <c r="B8" s="29"/>
      <c r="C8" s="20"/>
      <c r="D8" s="29"/>
      <c r="E8" s="20"/>
      <c r="F8" s="29"/>
      <c r="G8" s="20"/>
      <c r="H8" s="29"/>
      <c r="I8" s="20"/>
      <c r="J8" s="29" t="s">
        <v>307</v>
      </c>
      <c r="K8" s="20" t="s">
        <v>298</v>
      </c>
    </row>
    <row r="9" spans="1:11" ht="12" customHeight="1">
      <c r="A9" s="266"/>
      <c r="B9" s="29">
        <v>1915175</v>
      </c>
      <c r="C9" s="30">
        <f>IF(B7="","", IF(B7&lt;=0,"*",B9*100/B7))</f>
        <v>69.846029762463033</v>
      </c>
      <c r="D9" s="29">
        <v>1968474.91</v>
      </c>
      <c r="E9" s="30">
        <f>IF(D7="","", IF(D7&lt;=0,"*",D9*100/D7))</f>
        <v>69.996061857935075</v>
      </c>
      <c r="F9" s="29">
        <v>2013560.35</v>
      </c>
      <c r="G9" s="30">
        <v>69.3</v>
      </c>
      <c r="H9" s="29">
        <v>1981473.37</v>
      </c>
      <c r="I9" s="30">
        <f>IF(H7="","", IF(H7&lt;=0,"*",H9*100/H7))</f>
        <v>69.414001888100245</v>
      </c>
      <c r="J9" s="29">
        <v>1975017.39</v>
      </c>
      <c r="K9" s="30">
        <v>74.718487377998855</v>
      </c>
    </row>
    <row r="10" spans="1:11" ht="12" customHeight="1">
      <c r="A10" s="34"/>
      <c r="B10" s="29"/>
      <c r="C10" s="20"/>
      <c r="D10" s="29"/>
      <c r="E10" s="20"/>
      <c r="F10" s="29"/>
      <c r="G10" s="20"/>
      <c r="H10" s="29"/>
      <c r="I10" s="20"/>
      <c r="J10" s="29" t="s">
        <v>308</v>
      </c>
      <c r="K10" s="20" t="s">
        <v>309</v>
      </c>
    </row>
    <row r="11" spans="1:11" ht="12" customHeight="1">
      <c r="A11" s="34" t="s">
        <v>48</v>
      </c>
      <c r="B11" s="29">
        <v>96372.41</v>
      </c>
      <c r="C11" s="30">
        <f>IF(B7="", "", IF(B7&lt;=0, "*", B11*100/B7))</f>
        <v>3.5146815393581736</v>
      </c>
      <c r="D11" s="29">
        <v>110198.24</v>
      </c>
      <c r="E11" s="30">
        <f>IF(D7="", "", IF(D7&lt;=0, "*", D11*100/D7))</f>
        <v>3.9184867353354149</v>
      </c>
      <c r="F11" s="29">
        <v>96475.15</v>
      </c>
      <c r="G11" s="30">
        <f>IF(F7="", "", IF(F7&lt;=0, "*", F11*100/F7))</f>
        <v>3.3178568577083438</v>
      </c>
      <c r="H11" s="29">
        <v>94968.83</v>
      </c>
      <c r="I11" s="30">
        <f>IF(H7="", "", IF(H7&lt;=0, "*", H11*100/H7))</f>
        <v>3.3269014081832804</v>
      </c>
      <c r="J11" s="29">
        <v>103914.98</v>
      </c>
      <c r="K11" s="30">
        <v>3.9312920285299384</v>
      </c>
    </row>
    <row r="12" spans="1:11" ht="12" customHeight="1">
      <c r="A12" s="279" t="s">
        <v>49</v>
      </c>
      <c r="B12" s="29"/>
      <c r="C12" s="20"/>
      <c r="D12" s="29"/>
      <c r="E12" s="20"/>
      <c r="F12" s="29"/>
      <c r="G12" s="20"/>
      <c r="H12" s="29"/>
      <c r="I12" s="20"/>
      <c r="J12" s="29" t="s">
        <v>310</v>
      </c>
      <c r="K12" s="20" t="s">
        <v>311</v>
      </c>
    </row>
    <row r="13" spans="1:11" ht="12" customHeight="1">
      <c r="A13" s="279"/>
      <c r="B13" s="29">
        <v>281663.95</v>
      </c>
      <c r="C13" s="30">
        <f>IF(B7="", "", IF(B7&lt;=0, "*", B13*100/B7))</f>
        <v>10.272225062833893</v>
      </c>
      <c r="D13" s="29">
        <v>272861.87</v>
      </c>
      <c r="E13" s="30">
        <f>IF(D7="", "", IF(D7&lt;=0, "*", D13*100/D7))</f>
        <v>9.7025652875564656</v>
      </c>
      <c r="F13" s="29">
        <v>275342.43</v>
      </c>
      <c r="G13" s="30">
        <f>IF(F7="", "", IF(F7&lt;=0, "*", F13*100/F7))</f>
        <v>9.4692443556043155</v>
      </c>
      <c r="H13" s="29">
        <v>268020.34000000003</v>
      </c>
      <c r="I13" s="30">
        <f>IF(H7="", "", IF(H7&lt;=0, "*", H13*100/H7))</f>
        <v>9.3891569114599154</v>
      </c>
      <c r="J13" s="29">
        <v>272848.03000000003</v>
      </c>
      <c r="K13" s="30">
        <v>10.322335483672301</v>
      </c>
    </row>
    <row r="14" spans="1:11" ht="12" customHeight="1">
      <c r="A14" s="266" t="s">
        <v>50</v>
      </c>
      <c r="B14" s="27"/>
      <c r="C14" s="20"/>
      <c r="D14" s="27"/>
      <c r="E14" s="20"/>
      <c r="F14" s="27"/>
      <c r="G14" s="20"/>
      <c r="H14" s="27"/>
      <c r="I14" s="20"/>
      <c r="J14" s="27" t="s">
        <v>312</v>
      </c>
      <c r="K14" s="20" t="s">
        <v>313</v>
      </c>
    </row>
    <row r="15" spans="1:11" ht="12" customHeight="1">
      <c r="A15" s="266"/>
      <c r="B15" s="29">
        <v>109407.12</v>
      </c>
      <c r="C15" s="30">
        <f>IF(B7="", "", IF(B7&lt;=0, "*", B15*100/B7))</f>
        <v>3.9900546737219131</v>
      </c>
      <c r="D15" s="29">
        <v>93894.05</v>
      </c>
      <c r="E15" s="30">
        <f>IF(D7="", "", IF(D7&lt;=0, "*", D15*100/D7))</f>
        <v>3.3387338078350455</v>
      </c>
      <c r="F15" s="29">
        <v>125997.71</v>
      </c>
      <c r="G15" s="30">
        <f>IF(F7="", "", IF(F7&lt;=0, "*", F15*100/F7))</f>
        <v>4.3331610904885576</v>
      </c>
      <c r="H15" s="29">
        <v>110556.62</v>
      </c>
      <c r="I15" s="30">
        <f>IF(H7="", "", IF(H7&lt;=0, "*", H15*100/H7))</f>
        <v>3.872965211448681</v>
      </c>
      <c r="J15" s="29">
        <v>101867.06</v>
      </c>
      <c r="K15" s="30">
        <v>3.8538155032872154</v>
      </c>
    </row>
    <row r="16" spans="1:11" ht="12" customHeight="1">
      <c r="A16" s="8"/>
      <c r="B16" s="29"/>
      <c r="C16" s="30"/>
      <c r="D16" s="29"/>
      <c r="E16" s="30"/>
      <c r="F16" s="29"/>
      <c r="G16" s="30"/>
      <c r="H16" s="29"/>
      <c r="I16" s="30"/>
      <c r="J16" s="29" t="s">
        <v>314</v>
      </c>
      <c r="K16" s="30" t="s">
        <v>315</v>
      </c>
    </row>
    <row r="17" spans="1:11" ht="12" customHeight="1">
      <c r="A17" s="8" t="s">
        <v>51</v>
      </c>
      <c r="B17" s="29">
        <v>339378.14</v>
      </c>
      <c r="C17" s="30">
        <f>IF(B7="", "", IF(B7&lt;=0, "*", B17*100/B7))</f>
        <v>12.377049443089716</v>
      </c>
      <c r="D17" s="29">
        <v>366836.16</v>
      </c>
      <c r="E17" s="30">
        <v>13.1</v>
      </c>
      <c r="F17" s="29">
        <v>396379.4</v>
      </c>
      <c r="G17" s="30">
        <f>IF(F7="", "", IF(F7&lt;=0, "*", F17*100/F7))</f>
        <v>13.631801666484257</v>
      </c>
      <c r="H17" s="29">
        <v>399553.86</v>
      </c>
      <c r="I17" s="30">
        <f>IF(H7="", "", IF(H7&lt;=0, "*", H17*100/H7))</f>
        <v>13.996974580807885</v>
      </c>
      <c r="J17" s="29">
        <v>189630.60853</v>
      </c>
      <c r="K17" s="30">
        <v>7.1740696065116918</v>
      </c>
    </row>
    <row r="18" spans="1:11" ht="12" customHeight="1" thickBot="1">
      <c r="A18" s="8"/>
      <c r="B18" s="66"/>
      <c r="C18" s="69"/>
      <c r="D18" s="66"/>
      <c r="E18" s="69"/>
      <c r="F18" s="66"/>
      <c r="G18" s="69"/>
      <c r="H18" s="66"/>
      <c r="I18" s="69"/>
      <c r="J18" s="66" t="s">
        <v>316</v>
      </c>
      <c r="K18" s="69" t="s">
        <v>317</v>
      </c>
    </row>
    <row r="19" spans="1:11" ht="12" customHeight="1">
      <c r="A19" s="35"/>
      <c r="B19" s="36"/>
      <c r="C19" s="37"/>
      <c r="D19" s="36"/>
      <c r="E19" s="37"/>
      <c r="F19" s="36"/>
      <c r="G19" s="37"/>
      <c r="H19" s="36"/>
      <c r="I19" s="37"/>
      <c r="J19" s="36"/>
      <c r="K19" s="37"/>
    </row>
    <row r="20" spans="1:11" ht="12" customHeight="1">
      <c r="A20" s="8" t="s">
        <v>52</v>
      </c>
      <c r="B20" s="38">
        <v>19.304988999999999</v>
      </c>
      <c r="C20" s="39"/>
      <c r="D20" s="38">
        <v>18.647480999999999</v>
      </c>
      <c r="E20" s="39"/>
      <c r="F20" s="38">
        <v>18.562909000000001</v>
      </c>
      <c r="G20" s="39"/>
      <c r="H20" s="38">
        <v>18.064959000000002</v>
      </c>
      <c r="I20" s="39"/>
      <c r="J20" s="38">
        <v>17.525960999999999</v>
      </c>
      <c r="K20" s="39"/>
    </row>
    <row r="21" spans="1:11" ht="12" customHeight="1">
      <c r="A21" s="34"/>
      <c r="B21" s="40"/>
      <c r="C21" s="41"/>
      <c r="D21" s="40"/>
      <c r="E21" s="41"/>
      <c r="F21" s="40"/>
      <c r="G21" s="41"/>
      <c r="H21" s="40"/>
      <c r="I21" s="41"/>
      <c r="J21" s="40" t="s">
        <v>318</v>
      </c>
      <c r="K21" s="41"/>
    </row>
    <row r="22" spans="1:11" ht="12" customHeight="1">
      <c r="A22" s="34" t="s">
        <v>53</v>
      </c>
      <c r="B22" s="66">
        <v>694.02912000000003</v>
      </c>
      <c r="C22" s="71"/>
      <c r="D22" s="66">
        <v>676.27779399999997</v>
      </c>
      <c r="E22" s="71"/>
      <c r="F22" s="66">
        <v>694.16393100000005</v>
      </c>
      <c r="G22" s="71"/>
      <c r="H22" s="66">
        <v>698.28262600000005</v>
      </c>
      <c r="I22" s="71"/>
      <c r="J22" s="66">
        <v>638.566419</v>
      </c>
      <c r="K22" s="71"/>
    </row>
    <row r="23" spans="1:11" ht="12" customHeight="1" thickBot="1">
      <c r="A23" s="42"/>
      <c r="B23" s="43"/>
      <c r="C23" s="44"/>
      <c r="D23" s="43"/>
      <c r="E23" s="44"/>
      <c r="F23" s="43"/>
      <c r="G23" s="44"/>
      <c r="H23" s="43"/>
      <c r="I23" s="44"/>
      <c r="J23" s="43" t="s">
        <v>319</v>
      </c>
      <c r="K23" s="44"/>
    </row>
    <row r="24" spans="1:11" ht="11.9" customHeight="1">
      <c r="A24" s="13"/>
      <c r="B24" s="22"/>
      <c r="C24" s="15"/>
      <c r="D24" s="14"/>
      <c r="E24" s="15"/>
      <c r="F24" s="14"/>
      <c r="G24" s="15"/>
      <c r="H24" s="14"/>
      <c r="I24" s="15"/>
      <c r="J24" s="14"/>
      <c r="K24" s="15"/>
    </row>
    <row r="25" spans="1:11" ht="11.9" customHeight="1">
      <c r="A25" s="13" t="s">
        <v>54</v>
      </c>
      <c r="B25" s="22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13" t="s">
        <v>55</v>
      </c>
      <c r="B26" s="22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 t="s">
        <v>56</v>
      </c>
      <c r="B27" s="22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45" t="s">
        <v>57</v>
      </c>
      <c r="B28" s="14"/>
      <c r="C28" s="46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45" t="s">
        <v>58</v>
      </c>
      <c r="B29" s="14"/>
      <c r="C29" s="46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45" t="s">
        <v>59</v>
      </c>
      <c r="B30" s="14"/>
      <c r="C30" s="14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45"/>
      <c r="B31" s="14"/>
      <c r="C31" s="14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 t="s">
        <v>60</v>
      </c>
      <c r="B32" s="22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276" t="s">
        <v>61</v>
      </c>
      <c r="B33" s="47" t="s">
        <v>62</v>
      </c>
      <c r="C33" s="280" t="s">
        <v>63</v>
      </c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276"/>
      <c r="B34" s="14" t="s">
        <v>64</v>
      </c>
      <c r="C34" s="280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276" t="s">
        <v>65</v>
      </c>
      <c r="B35" s="277" t="s">
        <v>66</v>
      </c>
      <c r="C35" s="277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276"/>
      <c r="B36" s="278" t="s">
        <v>67</v>
      </c>
      <c r="C36" s="278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 t="s">
        <v>320</v>
      </c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>
      <c r="A38" s="13" t="s">
        <v>321</v>
      </c>
      <c r="B38" s="14"/>
      <c r="C38" s="46"/>
      <c r="D38" s="14"/>
      <c r="E38" s="15"/>
      <c r="F38" s="14"/>
      <c r="G38" s="15"/>
      <c r="H38" s="14"/>
      <c r="I38" s="15"/>
      <c r="J38" s="14"/>
      <c r="K38" s="15"/>
    </row>
    <row r="39" spans="1:11" ht="11.9" customHeight="1">
      <c r="A39" s="45"/>
      <c r="B39" s="14"/>
      <c r="C39" s="14"/>
      <c r="D39" s="14"/>
      <c r="E39" s="15"/>
      <c r="F39" s="14"/>
    </row>
    <row r="40" spans="1:11" ht="11.9" customHeight="1">
      <c r="A40" s="45"/>
      <c r="B40" s="14"/>
      <c r="C40" s="14"/>
      <c r="D40" s="14"/>
      <c r="E40" s="15"/>
      <c r="F40" s="14"/>
    </row>
    <row r="41" spans="1:11" ht="11.9" customHeight="1">
      <c r="A41" s="13"/>
      <c r="B41" s="14"/>
      <c r="C41" s="15"/>
      <c r="D41" s="14"/>
      <c r="E41" s="15"/>
      <c r="F41" s="14"/>
    </row>
    <row r="42" spans="1:11" ht="11.9" customHeight="1"/>
    <row r="43" spans="1:11" ht="11.9" customHeight="1"/>
    <row r="44" spans="1:11" ht="11.9" customHeight="1"/>
    <row r="45" spans="1:11" ht="11.9" customHeight="1"/>
    <row r="46" spans="1:11" ht="11.9" customHeight="1"/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78" s="15" customFormat="1"/>
    <row r="79" s="15" customFormat="1"/>
    <row r="80" s="15" customFormat="1"/>
    <row r="81" spans="1:10" s="15" customFormat="1">
      <c r="A81" s="13"/>
      <c r="B81" s="14"/>
      <c r="D81" s="14"/>
      <c r="F81" s="14"/>
      <c r="H81" s="14"/>
      <c r="J81" s="14"/>
    </row>
    <row r="82" spans="1:10" s="15" customFormat="1">
      <c r="A82" s="13"/>
      <c r="B82" s="14"/>
      <c r="D82" s="14"/>
      <c r="F82" s="14"/>
      <c r="H82" s="14"/>
      <c r="J82" s="14"/>
    </row>
    <row r="83" spans="1:10" s="15" customFormat="1">
      <c r="B83" s="14"/>
      <c r="D83" s="14"/>
      <c r="F83" s="14"/>
      <c r="H83" s="14"/>
      <c r="J83" s="14"/>
    </row>
    <row r="84" spans="1:10">
      <c r="A84" s="15"/>
      <c r="B84" s="14"/>
      <c r="D84" s="14"/>
      <c r="F84" s="14"/>
      <c r="H84" s="14"/>
      <c r="J84" s="14"/>
    </row>
    <row r="85" spans="1:10">
      <c r="A85" s="15"/>
      <c r="B85" s="14"/>
      <c r="D85" s="14"/>
      <c r="F85" s="14"/>
      <c r="H85" s="14"/>
      <c r="J85" s="14"/>
    </row>
    <row r="86" spans="1:10">
      <c r="A86" s="15"/>
      <c r="B86" s="14"/>
      <c r="D86" s="14"/>
      <c r="F86" s="14"/>
      <c r="H86" s="14"/>
      <c r="J86" s="14"/>
    </row>
    <row r="87" spans="1:10">
      <c r="A87" s="15"/>
      <c r="B87" s="14"/>
      <c r="D87" s="14"/>
      <c r="F87" s="14"/>
      <c r="H87" s="14"/>
      <c r="J87" s="14"/>
    </row>
    <row r="88" spans="1:10">
      <c r="A88" s="15"/>
      <c r="B88" s="14"/>
      <c r="D88" s="14"/>
      <c r="F88" s="14"/>
      <c r="H88" s="14"/>
      <c r="J88" s="14"/>
    </row>
    <row r="89" spans="1:10">
      <c r="A89" s="13"/>
      <c r="B89" s="14"/>
      <c r="D89" s="14"/>
      <c r="F89" s="14"/>
      <c r="H89" s="14"/>
      <c r="J89" s="14"/>
    </row>
    <row r="90" spans="1:10">
      <c r="A90" s="13"/>
      <c r="B90" s="14"/>
      <c r="D90" s="14"/>
      <c r="F90" s="14"/>
      <c r="H90" s="14"/>
      <c r="J90" s="14"/>
    </row>
    <row r="91" spans="1:10">
      <c r="A91" s="13"/>
      <c r="B91" s="14"/>
      <c r="D91" s="14"/>
      <c r="F91" s="14"/>
      <c r="H91" s="14"/>
      <c r="J91" s="14"/>
    </row>
    <row r="92" spans="1:10">
      <c r="A92" s="13"/>
      <c r="B92" s="14"/>
      <c r="D92" s="14"/>
      <c r="F92" s="14"/>
      <c r="H92" s="14"/>
      <c r="J92" s="14"/>
    </row>
    <row r="93" spans="1:10">
      <c r="A93" s="13"/>
      <c r="B93" s="14"/>
      <c r="D93" s="14"/>
      <c r="F93" s="14"/>
      <c r="H93" s="14"/>
      <c r="J93" s="14"/>
    </row>
    <row r="94" spans="1:10">
      <c r="A94" s="13"/>
      <c r="B94" s="14"/>
      <c r="D94" s="14"/>
      <c r="F94" s="14"/>
      <c r="H94" s="14"/>
      <c r="J94" s="14"/>
    </row>
    <row r="95" spans="1:10">
      <c r="A95" s="13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  <row r="97" spans="1:10">
      <c r="A97" s="15"/>
      <c r="B97" s="14"/>
      <c r="D97" s="14"/>
      <c r="F97" s="14"/>
      <c r="H97" s="14"/>
      <c r="J97" s="14"/>
    </row>
  </sheetData>
  <mergeCells count="15">
    <mergeCell ref="A35:A36"/>
    <mergeCell ref="B35:C35"/>
    <mergeCell ref="B36:C36"/>
    <mergeCell ref="A12:A13"/>
    <mergeCell ref="A14:A15"/>
    <mergeCell ref="A33:A34"/>
    <mergeCell ref="C33:C34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75" orientation="landscape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7A5C5-1C3B-475F-9AB0-638C23FA7807}">
  <dimension ref="A1:M145"/>
  <sheetViews>
    <sheetView showGridLines="0" view="pageBreakPreview" zoomScaleNormal="75" zoomScaleSheetLayoutView="100" workbookViewId="0"/>
  </sheetViews>
  <sheetFormatPr defaultColWidth="9" defaultRowHeight="11"/>
  <cols>
    <col min="1" max="1" width="34.6328125" style="2" bestFit="1" customWidth="1"/>
    <col min="2" max="2" width="15.6328125" style="2" customWidth="1"/>
    <col min="3" max="3" width="8.08984375" style="2" customWidth="1"/>
    <col min="4" max="4" width="15.6328125" style="2" customWidth="1"/>
    <col min="5" max="5" width="8.08984375" style="2" customWidth="1"/>
    <col min="6" max="6" width="15.6328125" style="2" customWidth="1"/>
    <col min="7" max="7" width="8.08984375" style="2" customWidth="1"/>
    <col min="8" max="8" width="15.6328125" style="2" customWidth="1"/>
    <col min="9" max="9" width="8.08984375" style="2" customWidth="1"/>
    <col min="10" max="10" width="15.6328125" style="2" customWidth="1"/>
    <col min="11" max="11" width="8.08984375" style="2" customWidth="1"/>
    <col min="12" max="16384" width="9" style="2"/>
  </cols>
  <sheetData>
    <row r="1" spans="1:13" ht="19">
      <c r="B1" s="1" t="s">
        <v>68</v>
      </c>
    </row>
    <row r="3" spans="1:13" ht="11.5" thickBot="1">
      <c r="K3" s="3" t="s">
        <v>35</v>
      </c>
    </row>
    <row r="4" spans="1:13" ht="12" customHeight="1" thickBot="1">
      <c r="A4" s="267" t="s">
        <v>36</v>
      </c>
      <c r="B4" s="263" t="s">
        <v>272</v>
      </c>
      <c r="C4" s="263"/>
      <c r="D4" s="263" t="s">
        <v>273</v>
      </c>
      <c r="E4" s="263"/>
      <c r="F4" s="263" t="s">
        <v>274</v>
      </c>
      <c r="G4" s="263"/>
      <c r="H4" s="263" t="s">
        <v>275</v>
      </c>
      <c r="I4" s="263"/>
      <c r="J4" s="263" t="s">
        <v>276</v>
      </c>
      <c r="K4" s="263"/>
    </row>
    <row r="5" spans="1:13" ht="25" customHeight="1" thickBot="1">
      <c r="A5" s="268"/>
      <c r="B5" s="4"/>
      <c r="C5" s="73" t="s">
        <v>69</v>
      </c>
      <c r="D5" s="4"/>
      <c r="E5" s="73" t="s">
        <v>69</v>
      </c>
      <c r="F5" s="4"/>
      <c r="G5" s="73" t="s">
        <v>69</v>
      </c>
      <c r="H5" s="4"/>
      <c r="I5" s="73" t="s">
        <v>69</v>
      </c>
      <c r="J5" s="4"/>
      <c r="K5" s="73" t="s">
        <v>69</v>
      </c>
    </row>
    <row r="6" spans="1:13" ht="12" customHeight="1">
      <c r="A6" s="265" t="s">
        <v>70</v>
      </c>
      <c r="B6" s="49">
        <v>401840.75</v>
      </c>
      <c r="C6" s="75">
        <v>23.411582510427099</v>
      </c>
      <c r="D6" s="49">
        <v>386095.42</v>
      </c>
      <c r="E6" s="75">
        <v>-3.9183009687295201</v>
      </c>
      <c r="F6" s="49">
        <v>441364.99</v>
      </c>
      <c r="G6" s="75">
        <v>14.3150027524284</v>
      </c>
      <c r="H6" s="49">
        <v>445809.88</v>
      </c>
      <c r="I6" s="75">
        <v>1.00707806480074</v>
      </c>
      <c r="J6" s="27">
        <v>275024</v>
      </c>
      <c r="K6" s="68">
        <v>-38.299999999999997</v>
      </c>
    </row>
    <row r="7" spans="1:13" ht="12" customHeight="1">
      <c r="A7" s="266"/>
      <c r="B7" s="49">
        <v>400721.93</v>
      </c>
      <c r="C7" s="75">
        <v>26.682787999999999</v>
      </c>
      <c r="D7" s="49">
        <v>385500.82</v>
      </c>
      <c r="E7" s="75">
        <v>-3.798422</v>
      </c>
      <c r="F7" s="49">
        <v>437620.43</v>
      </c>
      <c r="G7" s="75">
        <v>13.519973999999999</v>
      </c>
      <c r="H7" s="49">
        <v>443062.43</v>
      </c>
      <c r="I7" s="75">
        <v>1.2435430000000001</v>
      </c>
      <c r="J7" s="27">
        <v>279096</v>
      </c>
      <c r="K7" s="68">
        <v>-37</v>
      </c>
      <c r="L7" s="91"/>
      <c r="M7" s="92"/>
    </row>
    <row r="8" spans="1:13" ht="12" customHeight="1">
      <c r="A8" s="8"/>
      <c r="B8" s="49"/>
      <c r="C8" s="75"/>
      <c r="D8" s="49"/>
      <c r="E8" s="75"/>
      <c r="F8" s="49"/>
      <c r="G8" s="75"/>
      <c r="H8" s="49"/>
      <c r="I8" s="75"/>
      <c r="J8" s="27" t="s">
        <v>361</v>
      </c>
      <c r="K8" s="68" t="s">
        <v>362</v>
      </c>
    </row>
    <row r="9" spans="1:13" ht="12" customHeight="1">
      <c r="A9" s="266" t="s">
        <v>71</v>
      </c>
      <c r="B9" s="49">
        <v>130849.35</v>
      </c>
      <c r="C9" s="75">
        <v>32.4430772818557</v>
      </c>
      <c r="D9" s="49">
        <v>143872.28</v>
      </c>
      <c r="E9" s="75">
        <v>9.9526134443923393</v>
      </c>
      <c r="F9" s="49">
        <v>157684.43</v>
      </c>
      <c r="G9" s="75">
        <v>9.6002857534474302</v>
      </c>
      <c r="H9" s="49">
        <v>176378.28</v>
      </c>
      <c r="I9" s="75">
        <v>11.8552288263337</v>
      </c>
      <c r="J9" s="27">
        <v>160049</v>
      </c>
      <c r="K9" s="68">
        <v>-9.3000000000000007</v>
      </c>
    </row>
    <row r="10" spans="1:13" ht="12" customHeight="1">
      <c r="A10" s="266"/>
      <c r="B10" s="49">
        <v>129818.73</v>
      </c>
      <c r="C10" s="75">
        <v>34.061729999999997</v>
      </c>
      <c r="D10" s="49">
        <v>143434.16</v>
      </c>
      <c r="E10" s="75">
        <v>10.488032</v>
      </c>
      <c r="F10" s="49">
        <v>157485.20000000001</v>
      </c>
      <c r="G10" s="75">
        <v>9.7961600000000004</v>
      </c>
      <c r="H10" s="49">
        <v>174900.82</v>
      </c>
      <c r="I10" s="75">
        <v>11.058576</v>
      </c>
      <c r="J10" s="27">
        <v>159784</v>
      </c>
      <c r="K10" s="68">
        <v>-8.6</v>
      </c>
      <c r="L10" s="91"/>
    </row>
    <row r="11" spans="1:13" ht="12" customHeight="1">
      <c r="A11" s="266" t="s">
        <v>72</v>
      </c>
      <c r="B11" s="49"/>
      <c r="C11" s="75"/>
      <c r="D11" s="49"/>
      <c r="E11" s="75"/>
      <c r="F11" s="49"/>
      <c r="G11" s="75"/>
      <c r="H11" s="49"/>
      <c r="I11" s="75"/>
      <c r="J11" s="27"/>
      <c r="K11" s="68"/>
    </row>
    <row r="12" spans="1:13" ht="12" customHeight="1">
      <c r="A12" s="266"/>
      <c r="B12" s="49">
        <v>9409</v>
      </c>
      <c r="C12" s="75">
        <v>51.7</v>
      </c>
      <c r="D12" s="49">
        <v>12511</v>
      </c>
      <c r="E12" s="75">
        <v>33</v>
      </c>
      <c r="F12" s="49">
        <v>14428</v>
      </c>
      <c r="G12" s="75">
        <v>15.3</v>
      </c>
      <c r="H12" s="49">
        <v>10058</v>
      </c>
      <c r="I12" s="75">
        <v>-30.3</v>
      </c>
      <c r="J12" s="27">
        <v>11029</v>
      </c>
      <c r="K12" s="68">
        <v>9.6999999999999993</v>
      </c>
    </row>
    <row r="13" spans="1:13" ht="12" customHeight="1">
      <c r="A13" s="266" t="s">
        <v>73</v>
      </c>
      <c r="B13" s="49"/>
      <c r="C13" s="75"/>
      <c r="D13" s="49"/>
      <c r="E13" s="75"/>
      <c r="F13" s="49"/>
      <c r="G13" s="75"/>
      <c r="H13" s="49"/>
      <c r="I13" s="75"/>
      <c r="J13" s="27"/>
      <c r="K13" s="68"/>
    </row>
    <row r="14" spans="1:13" ht="12" customHeight="1">
      <c r="A14" s="266"/>
      <c r="B14" s="49">
        <v>13713</v>
      </c>
      <c r="C14" s="75">
        <v>37</v>
      </c>
      <c r="D14" s="49">
        <v>13193</v>
      </c>
      <c r="E14" s="75">
        <v>-3.8</v>
      </c>
      <c r="F14" s="49">
        <v>13563</v>
      </c>
      <c r="G14" s="75">
        <v>2.8</v>
      </c>
      <c r="H14" s="49">
        <v>19223</v>
      </c>
      <c r="I14" s="75">
        <v>41.7</v>
      </c>
      <c r="J14" s="27">
        <v>19581</v>
      </c>
      <c r="K14" s="68">
        <v>1.9</v>
      </c>
    </row>
    <row r="15" spans="1:13" ht="12" customHeight="1">
      <c r="A15" s="266" t="s">
        <v>74</v>
      </c>
      <c r="B15" s="49"/>
      <c r="C15" s="75"/>
      <c r="D15" s="49"/>
      <c r="E15" s="75"/>
      <c r="F15" s="49"/>
      <c r="G15" s="75"/>
      <c r="H15" s="49"/>
      <c r="I15" s="75"/>
      <c r="J15" s="27"/>
      <c r="K15" s="68"/>
    </row>
    <row r="16" spans="1:13" ht="12" customHeight="1">
      <c r="A16" s="266"/>
      <c r="B16" s="49">
        <v>2796</v>
      </c>
      <c r="C16" s="75">
        <v>108.4</v>
      </c>
      <c r="D16" s="49">
        <v>1678</v>
      </c>
      <c r="E16" s="75">
        <v>-40</v>
      </c>
      <c r="F16" s="49">
        <v>2806</v>
      </c>
      <c r="G16" s="75">
        <v>67.3</v>
      </c>
      <c r="H16" s="49">
        <v>2784</v>
      </c>
      <c r="I16" s="75">
        <v>-0.8</v>
      </c>
      <c r="J16" s="27">
        <v>3729</v>
      </c>
      <c r="K16" s="68">
        <v>34</v>
      </c>
    </row>
    <row r="17" spans="1:12" ht="12" customHeight="1">
      <c r="A17" s="266" t="s">
        <v>75</v>
      </c>
      <c r="B17" s="49"/>
      <c r="C17" s="75"/>
      <c r="D17" s="49"/>
      <c r="E17" s="75"/>
      <c r="F17" s="49"/>
      <c r="G17" s="75"/>
      <c r="H17" s="49"/>
      <c r="I17" s="75"/>
      <c r="J17" s="27"/>
      <c r="K17" s="68"/>
    </row>
    <row r="18" spans="1:12" ht="12" customHeight="1">
      <c r="A18" s="266"/>
      <c r="B18" s="49">
        <v>5181</v>
      </c>
      <c r="C18" s="75">
        <v>84.3</v>
      </c>
      <c r="D18" s="49">
        <v>6344</v>
      </c>
      <c r="E18" s="75">
        <v>22.4</v>
      </c>
      <c r="F18" s="49">
        <v>9378</v>
      </c>
      <c r="G18" s="75">
        <v>47.8</v>
      </c>
      <c r="H18" s="49">
        <v>11291</v>
      </c>
      <c r="I18" s="75">
        <v>20.399999999999999</v>
      </c>
      <c r="J18" s="27">
        <v>11276</v>
      </c>
      <c r="K18" s="68">
        <v>-0.1</v>
      </c>
    </row>
    <row r="19" spans="1:12" ht="12" customHeight="1">
      <c r="A19" s="266" t="s">
        <v>76</v>
      </c>
      <c r="B19" s="49"/>
      <c r="C19" s="75"/>
      <c r="D19" s="49"/>
      <c r="E19" s="75"/>
      <c r="F19" s="49"/>
      <c r="G19" s="75"/>
      <c r="H19" s="49"/>
      <c r="I19" s="75"/>
      <c r="J19" s="27"/>
      <c r="K19" s="68"/>
    </row>
    <row r="20" spans="1:12" ht="12" customHeight="1">
      <c r="A20" s="266"/>
      <c r="B20" s="49">
        <v>7841</v>
      </c>
      <c r="C20" s="75">
        <v>103.3</v>
      </c>
      <c r="D20" s="49">
        <v>5873</v>
      </c>
      <c r="E20" s="75">
        <v>-25.1</v>
      </c>
      <c r="F20" s="49">
        <v>6546</v>
      </c>
      <c r="G20" s="75">
        <v>11.5</v>
      </c>
      <c r="H20" s="49">
        <v>6767</v>
      </c>
      <c r="I20" s="75">
        <v>3.4</v>
      </c>
      <c r="J20" s="27">
        <v>7830</v>
      </c>
      <c r="K20" s="68">
        <v>15.7</v>
      </c>
    </row>
    <row r="21" spans="1:12" ht="12" customHeight="1">
      <c r="A21" s="266" t="s">
        <v>77</v>
      </c>
      <c r="B21" s="49"/>
      <c r="C21" s="75"/>
      <c r="D21" s="49"/>
      <c r="E21" s="75"/>
      <c r="F21" s="49"/>
      <c r="G21" s="75"/>
      <c r="H21" s="49"/>
      <c r="I21" s="75"/>
      <c r="J21" s="27"/>
      <c r="K21" s="68"/>
    </row>
    <row r="22" spans="1:12" ht="12" customHeight="1">
      <c r="A22" s="266"/>
      <c r="B22" s="49">
        <v>7578</v>
      </c>
      <c r="C22" s="75">
        <v>-26.1</v>
      </c>
      <c r="D22" s="49">
        <v>12616</v>
      </c>
      <c r="E22" s="75">
        <v>66.5</v>
      </c>
      <c r="F22" s="49">
        <v>13489</v>
      </c>
      <c r="G22" s="75">
        <v>6.9</v>
      </c>
      <c r="H22" s="49">
        <v>15831</v>
      </c>
      <c r="I22" s="75">
        <v>17.399999999999999</v>
      </c>
      <c r="J22" s="27">
        <v>15183</v>
      </c>
      <c r="K22" s="68">
        <v>-4.0999999999999996</v>
      </c>
    </row>
    <row r="23" spans="1:12" ht="12" customHeight="1">
      <c r="A23" s="266" t="s">
        <v>153</v>
      </c>
      <c r="B23" s="49"/>
      <c r="C23" s="75"/>
      <c r="D23" s="49"/>
      <c r="E23" s="75"/>
      <c r="F23" s="49"/>
      <c r="G23" s="75"/>
      <c r="H23" s="49"/>
      <c r="I23" s="75"/>
      <c r="J23" s="27"/>
      <c r="K23" s="68"/>
    </row>
    <row r="24" spans="1:12" ht="12" customHeight="1">
      <c r="A24" s="266"/>
      <c r="B24" s="49">
        <v>13766</v>
      </c>
      <c r="C24" s="75"/>
      <c r="D24" s="49">
        <v>13010</v>
      </c>
      <c r="E24" s="75">
        <v>-5.5</v>
      </c>
      <c r="F24" s="49">
        <v>15868</v>
      </c>
      <c r="G24" s="75">
        <v>22</v>
      </c>
      <c r="H24" s="49">
        <v>16716</v>
      </c>
      <c r="I24" s="75">
        <v>5.3</v>
      </c>
      <c r="J24" s="27">
        <v>17241</v>
      </c>
      <c r="K24" s="68">
        <v>3.1</v>
      </c>
    </row>
    <row r="25" spans="1:12" ht="12" customHeight="1">
      <c r="A25" s="266" t="s">
        <v>154</v>
      </c>
      <c r="B25" s="49"/>
      <c r="C25" s="75"/>
      <c r="D25" s="49"/>
      <c r="E25" s="75"/>
      <c r="F25" s="49"/>
      <c r="G25" s="75"/>
      <c r="H25" s="49"/>
      <c r="I25" s="75"/>
      <c r="J25" s="27"/>
      <c r="K25" s="68"/>
    </row>
    <row r="26" spans="1:12" ht="12" customHeight="1">
      <c r="A26" s="266"/>
      <c r="B26" s="49">
        <v>16441</v>
      </c>
      <c r="C26" s="75"/>
      <c r="D26" s="49">
        <v>14293</v>
      </c>
      <c r="E26" s="75">
        <v>-13.1</v>
      </c>
      <c r="F26" s="49">
        <v>17784</v>
      </c>
      <c r="G26" s="75">
        <v>24.4</v>
      </c>
      <c r="H26" s="49">
        <v>15173</v>
      </c>
      <c r="I26" s="75">
        <v>-14.7</v>
      </c>
      <c r="J26" s="27">
        <v>11735</v>
      </c>
      <c r="K26" s="68">
        <v>-22.7</v>
      </c>
    </row>
    <row r="27" spans="1:12" ht="12" customHeight="1">
      <c r="A27" s="270" t="s">
        <v>185</v>
      </c>
      <c r="B27" s="49"/>
      <c r="C27" s="75"/>
      <c r="D27" s="49"/>
      <c r="E27" s="75"/>
      <c r="F27" s="49"/>
      <c r="G27" s="75"/>
      <c r="H27" s="49"/>
      <c r="I27" s="75"/>
      <c r="J27" s="27"/>
      <c r="K27" s="68"/>
    </row>
    <row r="28" spans="1:12" ht="12" customHeight="1">
      <c r="A28" s="270"/>
      <c r="B28" s="27" t="s">
        <v>229</v>
      </c>
      <c r="C28" s="27" t="s">
        <v>230</v>
      </c>
      <c r="D28" s="27" t="s">
        <v>231</v>
      </c>
      <c r="E28" s="27" t="s">
        <v>232</v>
      </c>
      <c r="F28" s="27" t="s">
        <v>233</v>
      </c>
      <c r="G28" s="27" t="s">
        <v>234</v>
      </c>
      <c r="H28" s="27" t="s">
        <v>235</v>
      </c>
      <c r="I28" s="27" t="s">
        <v>236</v>
      </c>
      <c r="J28" s="83" t="s">
        <v>416</v>
      </c>
      <c r="K28" s="27" t="s">
        <v>417</v>
      </c>
    </row>
    <row r="29" spans="1:12" ht="12" customHeight="1">
      <c r="A29" s="266" t="s">
        <v>78</v>
      </c>
      <c r="B29" s="49"/>
      <c r="C29" s="75"/>
      <c r="D29" s="49"/>
      <c r="E29" s="75"/>
      <c r="F29" s="49"/>
      <c r="G29" s="75"/>
      <c r="H29" s="49"/>
      <c r="I29" s="75"/>
      <c r="J29" s="83"/>
      <c r="K29" s="68"/>
    </row>
    <row r="30" spans="1:12" ht="12" customHeight="1">
      <c r="A30" s="266"/>
      <c r="B30" s="49">
        <v>21243</v>
      </c>
      <c r="C30" s="75">
        <v>9.6</v>
      </c>
      <c r="D30" s="49">
        <v>26209</v>
      </c>
      <c r="E30" s="75">
        <v>23.4</v>
      </c>
      <c r="F30" s="49">
        <v>25630</v>
      </c>
      <c r="G30" s="75">
        <v>-2.2000000000000002</v>
      </c>
      <c r="H30" s="49">
        <v>28395</v>
      </c>
      <c r="I30" s="75">
        <v>10.8</v>
      </c>
      <c r="J30" s="83">
        <v>27005</v>
      </c>
      <c r="K30" s="68">
        <v>-4.9000000000000004</v>
      </c>
    </row>
    <row r="31" spans="1:12" ht="12" customHeight="1">
      <c r="A31" s="266" t="s">
        <v>79</v>
      </c>
      <c r="B31" s="49">
        <v>270991</v>
      </c>
      <c r="C31" s="75">
        <v>19.5</v>
      </c>
      <c r="D31" s="49">
        <v>242223</v>
      </c>
      <c r="E31" s="75">
        <v>-10.6</v>
      </c>
      <c r="F31" s="49">
        <v>283681</v>
      </c>
      <c r="G31" s="75">
        <v>17.100000000000001</v>
      </c>
      <c r="H31" s="49">
        <v>269432</v>
      </c>
      <c r="I31" s="75">
        <v>-5</v>
      </c>
      <c r="J31" s="83">
        <v>114975</v>
      </c>
      <c r="K31" s="68">
        <v>-57.3</v>
      </c>
    </row>
    <row r="32" spans="1:12" ht="12" customHeight="1">
      <c r="A32" s="266"/>
      <c r="B32" s="49">
        <v>270903</v>
      </c>
      <c r="C32" s="75">
        <v>23.427244000000002</v>
      </c>
      <c r="D32" s="49">
        <v>242067</v>
      </c>
      <c r="E32" s="75">
        <v>-10.6</v>
      </c>
      <c r="F32" s="49">
        <v>280135</v>
      </c>
      <c r="G32" s="75">
        <v>15.7</v>
      </c>
      <c r="H32" s="49">
        <v>268162</v>
      </c>
      <c r="I32" s="75">
        <v>-4.3</v>
      </c>
      <c r="J32" s="83">
        <v>119312</v>
      </c>
      <c r="K32" s="68">
        <v>-55.5</v>
      </c>
      <c r="L32" s="91"/>
    </row>
    <row r="33" spans="1:11" ht="12" customHeight="1">
      <c r="A33" s="266" t="s">
        <v>80</v>
      </c>
      <c r="B33" s="49"/>
      <c r="C33" s="75"/>
      <c r="D33" s="49"/>
      <c r="E33" s="75"/>
      <c r="F33" s="49"/>
      <c r="G33" s="75"/>
      <c r="H33" s="49"/>
      <c r="I33" s="75"/>
      <c r="J33" s="3" t="s">
        <v>363</v>
      </c>
      <c r="K33" s="94" t="s">
        <v>364</v>
      </c>
    </row>
    <row r="34" spans="1:11" ht="12" customHeight="1">
      <c r="A34" s="266"/>
      <c r="B34" s="49">
        <v>11167</v>
      </c>
      <c r="C34" s="75">
        <v>14.6</v>
      </c>
      <c r="D34" s="49">
        <v>14885</v>
      </c>
      <c r="E34" s="75">
        <v>33.299999999999997</v>
      </c>
      <c r="F34" s="49">
        <v>12848</v>
      </c>
      <c r="G34" s="75">
        <v>-13.7</v>
      </c>
      <c r="H34" s="49">
        <v>9379</v>
      </c>
      <c r="I34" s="75">
        <v>-27</v>
      </c>
      <c r="J34" s="83">
        <v>15086</v>
      </c>
      <c r="K34" s="68">
        <v>60.9</v>
      </c>
    </row>
    <row r="35" spans="1:11" ht="12" customHeight="1">
      <c r="A35" s="266" t="s">
        <v>81</v>
      </c>
      <c r="B35" s="49"/>
      <c r="C35" s="75"/>
      <c r="D35" s="49"/>
      <c r="E35" s="75"/>
      <c r="F35" s="49"/>
      <c r="G35" s="75"/>
      <c r="H35" s="49"/>
      <c r="I35" s="75"/>
      <c r="J35" s="83"/>
      <c r="K35" s="68"/>
    </row>
    <row r="36" spans="1:11" ht="12" customHeight="1">
      <c r="A36" s="266"/>
      <c r="B36" s="49">
        <v>36973</v>
      </c>
      <c r="C36" s="75"/>
      <c r="D36" s="49">
        <v>34132</v>
      </c>
      <c r="E36" s="75">
        <v>-7.7</v>
      </c>
      <c r="F36" s="49">
        <v>31642</v>
      </c>
      <c r="G36" s="75">
        <v>-7.3</v>
      </c>
      <c r="H36" s="49">
        <v>37567</v>
      </c>
      <c r="I36" s="75">
        <v>18.7</v>
      </c>
      <c r="J36" s="83">
        <v>46524</v>
      </c>
      <c r="K36" s="68">
        <v>23.8</v>
      </c>
    </row>
    <row r="37" spans="1:11" ht="12" customHeight="1">
      <c r="A37" s="270" t="s">
        <v>163</v>
      </c>
      <c r="B37" s="49"/>
      <c r="C37" s="75"/>
      <c r="D37" s="49"/>
      <c r="E37" s="75"/>
      <c r="F37" s="49"/>
      <c r="G37" s="75"/>
      <c r="H37" s="49"/>
      <c r="I37" s="75"/>
      <c r="J37" s="83"/>
      <c r="K37" s="68"/>
    </row>
    <row r="38" spans="1:11" ht="12" customHeight="1">
      <c r="A38" s="270"/>
      <c r="B38" s="27" t="s">
        <v>237</v>
      </c>
      <c r="C38" s="68" t="s">
        <v>238</v>
      </c>
      <c r="D38" s="27" t="s">
        <v>239</v>
      </c>
      <c r="E38" s="68" t="s">
        <v>240</v>
      </c>
      <c r="F38" s="27" t="s">
        <v>241</v>
      </c>
      <c r="G38" s="68" t="s">
        <v>242</v>
      </c>
      <c r="H38" s="27" t="s">
        <v>243</v>
      </c>
      <c r="I38" s="68" t="s">
        <v>244</v>
      </c>
      <c r="J38" s="27" t="s">
        <v>418</v>
      </c>
      <c r="K38" s="68" t="s">
        <v>419</v>
      </c>
    </row>
    <row r="39" spans="1:11" ht="12" customHeight="1">
      <c r="A39" s="266" t="s">
        <v>82</v>
      </c>
      <c r="B39" s="49"/>
      <c r="C39" s="75"/>
      <c r="D39" s="49"/>
      <c r="E39" s="75"/>
      <c r="F39" s="49"/>
      <c r="G39" s="75"/>
      <c r="H39" s="49"/>
      <c r="I39" s="75"/>
      <c r="J39" s="27"/>
      <c r="K39" s="68"/>
    </row>
    <row r="40" spans="1:11" ht="12" customHeight="1">
      <c r="A40" s="266"/>
      <c r="B40" s="49">
        <v>17436</v>
      </c>
      <c r="C40" s="75">
        <v>-23.6</v>
      </c>
      <c r="D40" s="49">
        <v>13657</v>
      </c>
      <c r="E40" s="75">
        <v>-21.7</v>
      </c>
      <c r="F40" s="49">
        <v>18381</v>
      </c>
      <c r="G40" s="75">
        <v>34.6</v>
      </c>
      <c r="H40" s="49">
        <v>21821</v>
      </c>
      <c r="I40" s="75">
        <v>18.7</v>
      </c>
      <c r="J40" s="27">
        <v>20118</v>
      </c>
      <c r="K40" s="68">
        <v>-7.8</v>
      </c>
    </row>
    <row r="41" spans="1:11" ht="12" customHeight="1">
      <c r="A41" s="266" t="s">
        <v>213</v>
      </c>
      <c r="B41" s="49"/>
      <c r="C41" s="75"/>
      <c r="D41" s="49"/>
      <c r="E41" s="75"/>
      <c r="F41" s="49"/>
      <c r="G41" s="75"/>
      <c r="H41" s="49"/>
      <c r="I41" s="75"/>
      <c r="J41" s="27"/>
      <c r="K41" s="68"/>
    </row>
    <row r="42" spans="1:11" ht="12" customHeight="1">
      <c r="A42" s="266"/>
      <c r="B42" s="49">
        <v>35975</v>
      </c>
      <c r="C42" s="75"/>
      <c r="D42" s="49">
        <v>38539</v>
      </c>
      <c r="E42" s="75">
        <v>7.1</v>
      </c>
      <c r="F42" s="49">
        <v>46844</v>
      </c>
      <c r="G42" s="75">
        <v>21.5</v>
      </c>
      <c r="H42" s="49">
        <v>36188</v>
      </c>
      <c r="I42" s="75">
        <v>-22.7</v>
      </c>
      <c r="J42" s="27">
        <v>41997</v>
      </c>
      <c r="K42" s="68">
        <v>16</v>
      </c>
    </row>
    <row r="43" spans="1:11" ht="12" customHeight="1">
      <c r="A43" s="266" t="s">
        <v>203</v>
      </c>
      <c r="B43" s="49"/>
      <c r="C43" s="75"/>
      <c r="D43" s="49"/>
      <c r="E43" s="75"/>
      <c r="F43" s="49"/>
      <c r="G43" s="75"/>
      <c r="H43" s="49"/>
      <c r="I43" s="75"/>
      <c r="J43" s="27"/>
      <c r="K43" s="68"/>
    </row>
    <row r="44" spans="1:11" ht="12" customHeight="1">
      <c r="A44" s="266"/>
      <c r="B44" s="49">
        <v>35251</v>
      </c>
      <c r="C44" s="75"/>
      <c r="D44" s="49">
        <v>27651</v>
      </c>
      <c r="E44" s="75">
        <v>-21.6</v>
      </c>
      <c r="F44" s="49">
        <v>40205</v>
      </c>
      <c r="G44" s="75">
        <v>45.4</v>
      </c>
      <c r="H44" s="49">
        <v>31220</v>
      </c>
      <c r="I44" s="75">
        <v>-22.3</v>
      </c>
      <c r="J44" s="27">
        <v>31723</v>
      </c>
      <c r="K44" s="68">
        <v>1.6</v>
      </c>
    </row>
    <row r="45" spans="1:11" ht="12" customHeight="1">
      <c r="A45" s="270" t="s">
        <v>204</v>
      </c>
      <c r="B45" s="49"/>
      <c r="C45" s="75"/>
      <c r="D45" s="49"/>
      <c r="E45" s="75"/>
      <c r="F45" s="49"/>
      <c r="G45" s="75"/>
      <c r="H45" s="49"/>
      <c r="I45" s="75"/>
      <c r="J45" s="27"/>
      <c r="K45" s="68"/>
    </row>
    <row r="46" spans="1:11" ht="12" customHeight="1">
      <c r="A46" s="270"/>
      <c r="B46" s="27" t="s">
        <v>245</v>
      </c>
      <c r="C46" s="27" t="s">
        <v>246</v>
      </c>
      <c r="D46" s="27" t="s">
        <v>247</v>
      </c>
      <c r="E46" s="27" t="s">
        <v>248</v>
      </c>
      <c r="F46" s="27" t="s">
        <v>249</v>
      </c>
      <c r="G46" s="27" t="s">
        <v>250</v>
      </c>
      <c r="H46" s="27" t="s">
        <v>251</v>
      </c>
      <c r="I46" s="27" t="s">
        <v>252</v>
      </c>
      <c r="J46" s="27" t="s">
        <v>420</v>
      </c>
      <c r="K46" s="27" t="s">
        <v>421</v>
      </c>
    </row>
    <row r="47" spans="1:11" ht="12" customHeight="1">
      <c r="A47" s="266" t="s">
        <v>83</v>
      </c>
      <c r="B47" s="49"/>
      <c r="C47" s="75"/>
      <c r="D47" s="49"/>
      <c r="E47" s="75"/>
      <c r="F47" s="49"/>
      <c r="G47" s="75"/>
      <c r="H47" s="49"/>
      <c r="I47" s="75"/>
      <c r="J47" s="27"/>
      <c r="K47" s="68"/>
    </row>
    <row r="48" spans="1:11" ht="12" customHeight="1">
      <c r="A48" s="266"/>
      <c r="B48" s="49">
        <v>11222</v>
      </c>
      <c r="C48" s="75">
        <v>-15.2</v>
      </c>
      <c r="D48" s="49">
        <v>12205</v>
      </c>
      <c r="E48" s="75">
        <v>8.7995160000000006</v>
      </c>
      <c r="F48" s="49">
        <v>12897</v>
      </c>
      <c r="G48" s="75">
        <v>5.7370049999999999</v>
      </c>
      <c r="H48" s="49">
        <v>18461</v>
      </c>
      <c r="I48" s="75">
        <v>43.1</v>
      </c>
      <c r="J48" s="27">
        <v>19569</v>
      </c>
      <c r="K48" s="68">
        <v>6</v>
      </c>
    </row>
    <row r="49" spans="1:11" ht="12" customHeight="1">
      <c r="A49" s="266" t="s">
        <v>84</v>
      </c>
      <c r="B49" s="49"/>
      <c r="C49" s="75"/>
      <c r="D49" s="49"/>
      <c r="E49" s="75"/>
      <c r="F49" s="49"/>
      <c r="G49" s="75"/>
      <c r="H49" s="49"/>
      <c r="I49" s="75"/>
      <c r="J49" s="27"/>
      <c r="K49" s="68"/>
    </row>
    <row r="50" spans="1:11" ht="12" customHeight="1">
      <c r="A50" s="266"/>
      <c r="B50" s="49">
        <v>112632</v>
      </c>
      <c r="C50" s="75">
        <v>10.199999999999999</v>
      </c>
      <c r="D50" s="49">
        <v>89301</v>
      </c>
      <c r="E50" s="75">
        <v>-20.7</v>
      </c>
      <c r="F50" s="49">
        <v>109837</v>
      </c>
      <c r="G50" s="75">
        <v>23</v>
      </c>
      <c r="H50" s="49">
        <v>105145</v>
      </c>
      <c r="I50" s="75">
        <v>-4.3</v>
      </c>
      <c r="J50" s="27">
        <v>-81246</v>
      </c>
      <c r="K50" s="68">
        <v>-177.3</v>
      </c>
    </row>
    <row r="51" spans="1:11" ht="12" customHeight="1" thickBot="1">
      <c r="A51" s="8"/>
      <c r="B51" s="49"/>
      <c r="C51" s="75"/>
      <c r="D51" s="49"/>
      <c r="E51" s="75"/>
      <c r="F51" s="49"/>
      <c r="G51" s="75"/>
      <c r="H51" s="49"/>
      <c r="I51" s="75"/>
      <c r="J51" s="27" t="s">
        <v>365</v>
      </c>
      <c r="K51" s="68" t="s">
        <v>366</v>
      </c>
    </row>
    <row r="52" spans="1:11" ht="12" customHeight="1">
      <c r="A52" s="265" t="s">
        <v>85</v>
      </c>
      <c r="B52" s="6"/>
      <c r="C52" s="74"/>
      <c r="D52" s="6"/>
      <c r="E52" s="74"/>
      <c r="F52" s="6"/>
      <c r="G52" s="74"/>
      <c r="H52" s="6"/>
      <c r="I52" s="74"/>
      <c r="J52" s="33"/>
      <c r="K52" s="79"/>
    </row>
    <row r="53" spans="1:11" ht="12" customHeight="1">
      <c r="A53" s="266"/>
      <c r="B53" s="49"/>
      <c r="C53" s="75"/>
      <c r="D53" s="49"/>
      <c r="E53" s="75"/>
      <c r="F53" s="49"/>
      <c r="G53" s="75"/>
      <c r="H53" s="49"/>
      <c r="I53" s="75"/>
      <c r="J53" s="27"/>
      <c r="K53" s="68"/>
    </row>
    <row r="54" spans="1:11" ht="12" customHeight="1">
      <c r="A54" s="266" t="s">
        <v>86</v>
      </c>
      <c r="B54" s="49"/>
      <c r="C54" s="75"/>
      <c r="D54" s="49"/>
      <c r="E54" s="75"/>
      <c r="F54" s="49"/>
      <c r="G54" s="75"/>
      <c r="H54" s="49"/>
      <c r="I54" s="75"/>
      <c r="J54" s="27"/>
      <c r="K54" s="68"/>
    </row>
    <row r="55" spans="1:11" ht="12" customHeight="1">
      <c r="A55" s="266"/>
      <c r="B55" s="49">
        <v>231346</v>
      </c>
      <c r="C55" s="75">
        <v>19.5</v>
      </c>
      <c r="D55" s="49">
        <v>229319</v>
      </c>
      <c r="E55" s="75">
        <v>-0.9</v>
      </c>
      <c r="F55" s="49">
        <v>258846</v>
      </c>
      <c r="G55" s="75">
        <v>12.9</v>
      </c>
      <c r="H55" s="49">
        <v>270508</v>
      </c>
      <c r="I55" s="75">
        <v>4.5</v>
      </c>
      <c r="J55" s="27">
        <v>136892</v>
      </c>
      <c r="K55" s="68">
        <v>-49.4</v>
      </c>
    </row>
    <row r="56" spans="1:11" ht="12" customHeight="1">
      <c r="A56" s="266" t="s">
        <v>87</v>
      </c>
      <c r="B56" s="49"/>
      <c r="C56" s="75"/>
      <c r="D56" s="49"/>
      <c r="E56" s="75"/>
      <c r="F56" s="49"/>
      <c r="G56" s="75"/>
      <c r="H56" s="49"/>
      <c r="I56" s="75"/>
      <c r="J56" s="27"/>
      <c r="K56" s="68"/>
    </row>
    <row r="57" spans="1:11" ht="12" customHeight="1">
      <c r="A57" s="266"/>
      <c r="B57" s="49">
        <v>48292</v>
      </c>
      <c r="C57" s="75">
        <v>172.6</v>
      </c>
      <c r="D57" s="49">
        <v>44354</v>
      </c>
      <c r="E57" s="75">
        <v>-8.1999999999999993</v>
      </c>
      <c r="F57" s="49">
        <v>68745</v>
      </c>
      <c r="G57" s="75">
        <v>55</v>
      </c>
      <c r="H57" s="49">
        <v>56376</v>
      </c>
      <c r="I57" s="75">
        <v>-18</v>
      </c>
      <c r="J57" s="27">
        <v>35183</v>
      </c>
      <c r="K57" s="68">
        <v>-37.6</v>
      </c>
    </row>
    <row r="58" spans="1:11" ht="12" customHeight="1">
      <c r="A58" s="266" t="s">
        <v>88</v>
      </c>
      <c r="B58" s="49"/>
      <c r="C58" s="75"/>
      <c r="D58" s="49"/>
      <c r="E58" s="75"/>
      <c r="F58" s="49"/>
      <c r="G58" s="75"/>
      <c r="H58" s="49"/>
      <c r="I58" s="75"/>
      <c r="J58" s="27"/>
      <c r="K58" s="68"/>
    </row>
    <row r="59" spans="1:11" ht="12" customHeight="1">
      <c r="A59" s="266"/>
      <c r="B59" s="49">
        <v>93887</v>
      </c>
      <c r="C59" s="75">
        <v>0.9</v>
      </c>
      <c r="D59" s="49">
        <v>98816</v>
      </c>
      <c r="E59" s="75">
        <v>5.2</v>
      </c>
      <c r="F59" s="49">
        <v>89028</v>
      </c>
      <c r="G59" s="75">
        <v>-9.9</v>
      </c>
      <c r="H59" s="49">
        <v>96522</v>
      </c>
      <c r="I59" s="75">
        <v>8.4</v>
      </c>
      <c r="J59" s="27">
        <v>75639</v>
      </c>
      <c r="K59" s="68">
        <v>-21.6</v>
      </c>
    </row>
    <row r="60" spans="1:11" ht="12" customHeight="1">
      <c r="A60" s="266" t="s">
        <v>89</v>
      </c>
      <c r="B60" s="49"/>
      <c r="C60" s="75"/>
      <c r="D60" s="49"/>
      <c r="E60" s="75"/>
      <c r="F60" s="49"/>
      <c r="G60" s="75"/>
      <c r="H60" s="49"/>
      <c r="I60" s="75"/>
      <c r="J60" s="27"/>
      <c r="K60" s="68"/>
    </row>
    <row r="61" spans="1:11" ht="12" customHeight="1" thickBot="1">
      <c r="A61" s="271"/>
      <c r="B61" s="77">
        <v>28315</v>
      </c>
      <c r="C61" s="78">
        <v>32.799999999999997</v>
      </c>
      <c r="D61" s="77">
        <v>13607</v>
      </c>
      <c r="E61" s="78">
        <v>-51.9</v>
      </c>
      <c r="F61" s="77">
        <v>24747</v>
      </c>
      <c r="G61" s="78">
        <v>81.900000000000006</v>
      </c>
      <c r="H61" s="77">
        <v>22404</v>
      </c>
      <c r="I61" s="78">
        <v>-9.5</v>
      </c>
      <c r="J61" s="95">
        <v>27310</v>
      </c>
      <c r="K61" s="82">
        <v>21.9</v>
      </c>
    </row>
    <row r="62" spans="1:11" ht="7.5" customHeight="1">
      <c r="A62" s="13"/>
      <c r="B62" s="14"/>
      <c r="C62" s="15"/>
      <c r="D62" s="14"/>
      <c r="E62" s="15"/>
      <c r="F62" s="14"/>
      <c r="G62" s="15"/>
      <c r="H62" s="14"/>
      <c r="I62" s="15"/>
      <c r="J62" s="14"/>
      <c r="K62" s="15"/>
    </row>
    <row r="63" spans="1:11" ht="11.9" customHeight="1">
      <c r="A63" s="13" t="s">
        <v>90</v>
      </c>
      <c r="C63" s="15"/>
      <c r="D63" s="14"/>
      <c r="E63" s="15"/>
      <c r="F63" s="14"/>
      <c r="G63" s="15"/>
      <c r="H63" s="14"/>
      <c r="I63" s="15"/>
      <c r="J63" s="14"/>
      <c r="K63" s="15"/>
    </row>
    <row r="64" spans="1:11" ht="11.9" customHeight="1">
      <c r="A64" s="13" t="s">
        <v>91</v>
      </c>
      <c r="B64" s="14"/>
      <c r="C64" s="15"/>
      <c r="D64" s="14"/>
      <c r="E64" s="15"/>
      <c r="F64" s="14"/>
      <c r="G64" s="15"/>
      <c r="H64" s="14"/>
      <c r="I64" s="15"/>
      <c r="J64" s="14"/>
      <c r="K64" s="15"/>
    </row>
    <row r="65" spans="1:11" ht="11.9" customHeight="1">
      <c r="A65" s="16" t="s">
        <v>327</v>
      </c>
      <c r="B65" s="14"/>
      <c r="C65" s="15"/>
      <c r="D65" s="14"/>
      <c r="E65" s="15"/>
      <c r="F65" s="14"/>
      <c r="G65" s="15"/>
      <c r="H65" s="14"/>
      <c r="I65" s="15"/>
      <c r="J65" s="14"/>
      <c r="K65" s="15"/>
    </row>
    <row r="66" spans="1:11" ht="11.9" customHeight="1">
      <c r="A66" s="13" t="s">
        <v>326</v>
      </c>
      <c r="B66" s="14"/>
      <c r="C66" s="15"/>
      <c r="D66" s="14"/>
      <c r="E66" s="15"/>
      <c r="F66" s="14"/>
      <c r="G66" s="15"/>
      <c r="H66" s="14"/>
      <c r="I66" s="15"/>
      <c r="J66" s="14"/>
      <c r="K66" s="15"/>
    </row>
    <row r="67" spans="1:11" ht="11.9" customHeight="1">
      <c r="B67" s="14"/>
      <c r="C67" s="15"/>
      <c r="D67" s="14"/>
      <c r="E67" s="15"/>
      <c r="F67" s="14"/>
      <c r="G67" s="15"/>
      <c r="H67" s="14"/>
      <c r="I67" s="15"/>
      <c r="J67" s="14"/>
      <c r="K67" s="15"/>
    </row>
    <row r="68" spans="1:11" ht="11.9" customHeight="1">
      <c r="A68" s="13"/>
      <c r="B68" s="14"/>
      <c r="C68" s="15"/>
      <c r="D68" s="14"/>
      <c r="E68" s="15"/>
      <c r="F68" s="14"/>
      <c r="G68" s="15"/>
      <c r="H68" s="14"/>
      <c r="I68" s="15"/>
      <c r="J68" s="14"/>
      <c r="K68" s="15"/>
    </row>
    <row r="69" spans="1:11" ht="11.9" customHeight="1">
      <c r="A69" s="13"/>
      <c r="B69" s="14"/>
      <c r="C69" s="15"/>
      <c r="D69" s="14"/>
      <c r="E69" s="15"/>
      <c r="F69" s="14"/>
      <c r="G69" s="15"/>
      <c r="H69" s="14"/>
      <c r="I69" s="15"/>
      <c r="J69" s="14"/>
      <c r="K69" s="15"/>
    </row>
    <row r="70" spans="1:11" ht="11.9" customHeight="1">
      <c r="A70" s="13"/>
      <c r="B70" s="14"/>
      <c r="C70" s="15"/>
      <c r="D70" s="14"/>
      <c r="E70" s="15"/>
      <c r="F70" s="14"/>
      <c r="G70" s="15"/>
      <c r="H70" s="14"/>
      <c r="I70" s="15"/>
      <c r="J70" s="14"/>
      <c r="K70" s="15"/>
    </row>
    <row r="71" spans="1:11" ht="11.9" customHeight="1">
      <c r="A71" s="13"/>
      <c r="B71" s="14"/>
      <c r="C71" s="15"/>
      <c r="D71" s="14"/>
      <c r="E71" s="15"/>
      <c r="F71" s="14"/>
      <c r="G71" s="15"/>
      <c r="H71" s="14"/>
      <c r="I71" s="15"/>
      <c r="J71" s="14"/>
      <c r="K71" s="15"/>
    </row>
    <row r="72" spans="1:11" ht="11.9" customHeight="1">
      <c r="A72" s="13"/>
      <c r="B72" s="14"/>
      <c r="C72" s="15"/>
      <c r="D72" s="14"/>
      <c r="E72" s="15"/>
      <c r="F72" s="14"/>
      <c r="G72" s="15"/>
      <c r="H72" s="14"/>
      <c r="I72" s="15"/>
      <c r="J72" s="14"/>
      <c r="K72" s="15"/>
    </row>
    <row r="73" spans="1:11" ht="11.9" customHeight="1">
      <c r="A73" s="13"/>
      <c r="B73" s="14"/>
      <c r="C73" s="15"/>
      <c r="D73" s="14"/>
      <c r="E73" s="15"/>
      <c r="F73" s="14"/>
      <c r="G73" s="15"/>
      <c r="H73" s="14"/>
      <c r="I73" s="15"/>
      <c r="J73" s="14"/>
      <c r="K73" s="15"/>
    </row>
    <row r="74" spans="1:11" ht="11.9" customHeight="1">
      <c r="A74" s="13"/>
      <c r="B74" s="14"/>
      <c r="C74" s="15"/>
      <c r="D74" s="14"/>
      <c r="E74" s="15"/>
      <c r="F74" s="14"/>
      <c r="G74" s="15"/>
      <c r="H74" s="14"/>
      <c r="I74" s="15"/>
      <c r="J74" s="14"/>
      <c r="K74" s="15"/>
    </row>
    <row r="75" spans="1:11" ht="11.9" customHeight="1">
      <c r="A75" s="13"/>
      <c r="B75" s="14"/>
      <c r="C75" s="15"/>
      <c r="D75" s="14"/>
      <c r="E75" s="15"/>
      <c r="F75" s="14"/>
      <c r="G75" s="15"/>
      <c r="H75" s="14"/>
      <c r="I75" s="15"/>
      <c r="J75" s="14"/>
      <c r="K75" s="15"/>
    </row>
    <row r="76" spans="1:11" ht="11.9" customHeight="1">
      <c r="A76" s="13"/>
      <c r="B76" s="14"/>
      <c r="C76" s="15"/>
      <c r="D76" s="14"/>
      <c r="E76" s="15"/>
      <c r="F76" s="14"/>
      <c r="G76" s="15"/>
      <c r="H76" s="14"/>
      <c r="I76" s="15"/>
      <c r="J76" s="14"/>
      <c r="K76" s="15"/>
    </row>
    <row r="77" spans="1:11" ht="11.9" customHeight="1">
      <c r="A77" s="13"/>
      <c r="B77" s="14"/>
      <c r="C77" s="15"/>
      <c r="D77" s="14"/>
      <c r="E77" s="15"/>
      <c r="F77" s="14"/>
      <c r="G77" s="15"/>
      <c r="H77" s="14"/>
      <c r="I77" s="15"/>
      <c r="J77" s="14"/>
      <c r="K77" s="15"/>
    </row>
    <row r="78" spans="1:11" ht="11.9" customHeight="1">
      <c r="A78" s="13"/>
      <c r="B78" s="14"/>
      <c r="C78" s="15"/>
      <c r="D78" s="14"/>
      <c r="E78" s="15"/>
      <c r="F78" s="14"/>
      <c r="G78" s="15"/>
      <c r="H78" s="14"/>
      <c r="I78" s="15"/>
      <c r="J78" s="14"/>
      <c r="K78" s="15"/>
    </row>
    <row r="79" spans="1:11" ht="11.9" customHeight="1">
      <c r="A79" s="13"/>
      <c r="B79" s="14"/>
      <c r="C79" s="15"/>
      <c r="D79" s="14"/>
      <c r="E79" s="15"/>
      <c r="F79" s="14"/>
      <c r="G79" s="15"/>
      <c r="H79" s="14"/>
      <c r="I79" s="15"/>
      <c r="J79" s="14"/>
      <c r="K79" s="15"/>
    </row>
    <row r="80" spans="1:11" ht="11.9" customHeight="1">
      <c r="A80" s="13"/>
      <c r="B80" s="14"/>
      <c r="C80" s="15"/>
      <c r="D80" s="14"/>
      <c r="E80" s="15"/>
      <c r="F80" s="14"/>
      <c r="G80" s="15"/>
      <c r="H80" s="14"/>
      <c r="I80" s="15"/>
      <c r="J80" s="14"/>
      <c r="K80" s="15"/>
    </row>
    <row r="81" spans="1:11" ht="11.9" customHeight="1">
      <c r="A81" s="13"/>
      <c r="B81" s="14"/>
      <c r="C81" s="15"/>
      <c r="D81" s="14"/>
      <c r="E81" s="15"/>
      <c r="F81" s="14"/>
      <c r="G81" s="15"/>
      <c r="H81" s="14"/>
      <c r="I81" s="15"/>
      <c r="J81" s="14"/>
      <c r="K81" s="15"/>
    </row>
    <row r="82" spans="1:11" ht="11.9" customHeight="1">
      <c r="A82" s="13"/>
      <c r="B82" s="14"/>
      <c r="C82" s="15"/>
      <c r="D82" s="14"/>
      <c r="E82" s="15"/>
      <c r="F82" s="14"/>
      <c r="G82" s="15"/>
      <c r="H82" s="14"/>
      <c r="I82" s="15"/>
      <c r="J82" s="14"/>
      <c r="K82" s="15"/>
    </row>
    <row r="83" spans="1:11" ht="11.9" customHeight="1">
      <c r="A83" s="13"/>
      <c r="B83" s="14"/>
      <c r="C83" s="15"/>
      <c r="D83" s="14"/>
      <c r="E83" s="15"/>
      <c r="F83" s="14"/>
      <c r="G83" s="15"/>
      <c r="H83" s="14"/>
      <c r="I83" s="15"/>
      <c r="J83" s="14"/>
      <c r="K83" s="15"/>
    </row>
    <row r="84" spans="1:11" ht="11.9" customHeight="1">
      <c r="A84" s="13"/>
      <c r="B84" s="14"/>
      <c r="C84" s="15"/>
      <c r="D84" s="14"/>
      <c r="E84" s="15"/>
      <c r="F84" s="14"/>
      <c r="G84" s="15"/>
      <c r="H84" s="14"/>
      <c r="I84" s="15"/>
      <c r="J84" s="14"/>
      <c r="K84" s="15"/>
    </row>
    <row r="85" spans="1:11" ht="11.9" customHeight="1">
      <c r="A85" s="13"/>
      <c r="B85" s="14"/>
      <c r="C85" s="15"/>
      <c r="D85" s="14"/>
      <c r="E85" s="15"/>
      <c r="F85" s="14"/>
      <c r="G85" s="15"/>
      <c r="H85" s="14"/>
      <c r="I85" s="15"/>
      <c r="J85" s="14"/>
      <c r="K85" s="15"/>
    </row>
    <row r="86" spans="1:11" ht="11.9" customHeight="1">
      <c r="A86" s="13"/>
      <c r="B86" s="14"/>
      <c r="C86" s="15"/>
      <c r="D86" s="14"/>
      <c r="E86" s="15"/>
      <c r="F86" s="14"/>
      <c r="G86" s="15"/>
      <c r="H86" s="14"/>
      <c r="I86" s="15"/>
      <c r="J86" s="14"/>
      <c r="K86" s="15"/>
    </row>
    <row r="87" spans="1:11" ht="11.9" customHeight="1"/>
    <row r="88" spans="1:11" ht="11.9" customHeight="1"/>
    <row r="89" spans="1:11" ht="11.9" customHeight="1"/>
    <row r="90" spans="1:11" ht="11.9" customHeight="1"/>
    <row r="91" spans="1:11" ht="11.9" customHeight="1"/>
    <row r="92" spans="1:11" ht="11.9" customHeight="1"/>
    <row r="93" spans="1:11" ht="11.9" customHeight="1"/>
    <row r="94" spans="1:11" ht="11.9" customHeight="1"/>
    <row r="95" spans="1:11" ht="11.9" customHeight="1"/>
    <row r="96" spans="1:11" ht="11.9" customHeight="1"/>
    <row r="97" ht="11.9" customHeight="1"/>
    <row r="98" ht="11.9" customHeight="1"/>
    <row r="99" ht="11.9" customHeight="1"/>
    <row r="100" ht="11.9" customHeight="1"/>
    <row r="101" ht="11.9" customHeight="1"/>
    <row r="102" ht="11.9" customHeight="1"/>
    <row r="103" ht="11.9" customHeight="1"/>
    <row r="104" ht="11.9" customHeight="1"/>
    <row r="105" ht="11.9" customHeight="1"/>
    <row r="106" ht="11.9" customHeight="1"/>
    <row r="107" ht="11.9" customHeight="1"/>
    <row r="108" ht="11.9" customHeight="1"/>
    <row r="109" ht="11.9" customHeight="1"/>
    <row r="110" ht="11.9" customHeight="1"/>
    <row r="111" ht="11.9" customHeight="1"/>
    <row r="112" ht="11.9" customHeight="1"/>
    <row r="113" ht="11.9" customHeight="1"/>
    <row r="114" ht="11.9" customHeight="1"/>
    <row r="126" s="15" customFormat="1"/>
    <row r="127" s="15" customFormat="1"/>
    <row r="128" s="15" customFormat="1"/>
    <row r="129" spans="1:10" s="15" customFormat="1">
      <c r="A129" s="13"/>
      <c r="B129" s="14"/>
      <c r="D129" s="14"/>
      <c r="F129" s="14"/>
      <c r="H129" s="14"/>
      <c r="J129" s="14"/>
    </row>
    <row r="130" spans="1:10" s="15" customFormat="1">
      <c r="A130" s="13"/>
      <c r="B130" s="14"/>
      <c r="D130" s="14"/>
      <c r="F130" s="14"/>
      <c r="H130" s="14"/>
      <c r="J130" s="14"/>
    </row>
    <row r="131" spans="1:10" s="15" customFormat="1">
      <c r="B131" s="14"/>
      <c r="D131" s="14"/>
      <c r="F131" s="14"/>
      <c r="H131" s="14"/>
      <c r="J131" s="14"/>
    </row>
    <row r="132" spans="1:10">
      <c r="A132" s="15"/>
      <c r="B132" s="14"/>
      <c r="D132" s="14"/>
      <c r="F132" s="14"/>
      <c r="H132" s="14"/>
      <c r="J132" s="14"/>
    </row>
    <row r="133" spans="1:10">
      <c r="A133" s="15"/>
      <c r="B133" s="14"/>
      <c r="D133" s="14"/>
      <c r="F133" s="14"/>
      <c r="H133" s="14"/>
      <c r="J133" s="14"/>
    </row>
    <row r="134" spans="1:10">
      <c r="A134" s="15"/>
      <c r="B134" s="14"/>
      <c r="D134" s="14"/>
      <c r="F134" s="14"/>
      <c r="H134" s="14"/>
      <c r="J134" s="14"/>
    </row>
    <row r="135" spans="1:10">
      <c r="A135" s="15"/>
      <c r="B135" s="14"/>
      <c r="D135" s="14"/>
      <c r="F135" s="14"/>
      <c r="H135" s="14"/>
      <c r="J135" s="14"/>
    </row>
    <row r="136" spans="1:10">
      <c r="A136" s="15"/>
      <c r="B136" s="14"/>
      <c r="D136" s="14"/>
      <c r="F136" s="14"/>
      <c r="H136" s="14"/>
      <c r="J136" s="14"/>
    </row>
    <row r="137" spans="1:10">
      <c r="A137" s="13"/>
      <c r="B137" s="14"/>
      <c r="D137" s="14"/>
      <c r="F137" s="14"/>
      <c r="H137" s="14"/>
      <c r="J137" s="14"/>
    </row>
    <row r="138" spans="1:10">
      <c r="A138" s="13"/>
      <c r="B138" s="14"/>
      <c r="D138" s="14"/>
      <c r="F138" s="14"/>
      <c r="H138" s="14"/>
      <c r="J138" s="14"/>
    </row>
    <row r="139" spans="1:10">
      <c r="A139" s="13"/>
      <c r="B139" s="14"/>
      <c r="D139" s="14"/>
      <c r="F139" s="14"/>
      <c r="H139" s="14"/>
      <c r="J139" s="14"/>
    </row>
    <row r="140" spans="1:10">
      <c r="A140" s="13"/>
      <c r="B140" s="14"/>
      <c r="D140" s="14"/>
      <c r="F140" s="14"/>
      <c r="H140" s="14"/>
      <c r="J140" s="14"/>
    </row>
    <row r="141" spans="1:10">
      <c r="A141" s="13"/>
      <c r="B141" s="14"/>
      <c r="D141" s="14"/>
      <c r="F141" s="14"/>
      <c r="H141" s="14"/>
      <c r="J141" s="14"/>
    </row>
    <row r="142" spans="1:10">
      <c r="A142" s="13"/>
      <c r="B142" s="14"/>
      <c r="D142" s="14"/>
      <c r="F142" s="14"/>
      <c r="H142" s="14"/>
      <c r="J142" s="14"/>
    </row>
    <row r="143" spans="1:10">
      <c r="A143" s="13"/>
      <c r="B143" s="14"/>
      <c r="D143" s="14"/>
      <c r="F143" s="14"/>
      <c r="H143" s="14"/>
      <c r="J143" s="14"/>
    </row>
    <row r="144" spans="1:10">
      <c r="A144" s="15"/>
      <c r="B144" s="14"/>
      <c r="D144" s="14"/>
      <c r="F144" s="14"/>
      <c r="H144" s="14"/>
      <c r="J144" s="14"/>
    </row>
    <row r="145" spans="1:10">
      <c r="A145" s="15"/>
      <c r="B145" s="14"/>
      <c r="D145" s="14"/>
      <c r="F145" s="14"/>
      <c r="H145" s="14"/>
      <c r="J145" s="14"/>
    </row>
  </sheetData>
  <mergeCells count="33">
    <mergeCell ref="A58:A59"/>
    <mergeCell ref="A39:A40"/>
    <mergeCell ref="A41:A42"/>
    <mergeCell ref="A43:A44"/>
    <mergeCell ref="A47:A48"/>
    <mergeCell ref="A27:A28"/>
    <mergeCell ref="A29:A30"/>
    <mergeCell ref="A31:A32"/>
    <mergeCell ref="A60:A61"/>
    <mergeCell ref="A49:A50"/>
    <mergeCell ref="A52:A53"/>
    <mergeCell ref="A54:A55"/>
    <mergeCell ref="A56:A57"/>
    <mergeCell ref="A45:A46"/>
    <mergeCell ref="A37:A38"/>
    <mergeCell ref="A11:A12"/>
    <mergeCell ref="A13:A14"/>
    <mergeCell ref="A15:A16"/>
    <mergeCell ref="A17:A18"/>
    <mergeCell ref="A33:A34"/>
    <mergeCell ref="A35:A36"/>
    <mergeCell ref="A19:A20"/>
    <mergeCell ref="A21:A22"/>
    <mergeCell ref="A23:A24"/>
    <mergeCell ref="A25:A26"/>
    <mergeCell ref="H4:I4"/>
    <mergeCell ref="J4:K4"/>
    <mergeCell ref="A6:A7"/>
    <mergeCell ref="A9:A10"/>
    <mergeCell ref="A4:A5"/>
    <mergeCell ref="B4:C4"/>
    <mergeCell ref="D4:E4"/>
    <mergeCell ref="F4:G4"/>
  </mergeCells>
  <phoneticPr fontId="1"/>
  <pageMargins left="0.75" right="0.75" top="0.82" bottom="1" header="0.51200000000000001" footer="0.51200000000000001"/>
  <pageSetup paperSize="9" scale="62" orientation="landscape" horizontalDpi="300" verticalDpi="3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FE888-F3A1-4D61-897A-D389A5D83E62}">
  <sheetPr>
    <pageSetUpPr fitToPage="1"/>
  </sheetPr>
  <dimension ref="A1:K102"/>
  <sheetViews>
    <sheetView showGridLines="0" view="pageBreakPreview" zoomScaleNormal="100" workbookViewId="0"/>
  </sheetViews>
  <sheetFormatPr defaultColWidth="9" defaultRowHeight="11"/>
  <cols>
    <col min="1" max="1" width="33" style="2" bestFit="1" customWidth="1"/>
    <col min="2" max="6" width="20.6328125" style="2" customWidth="1"/>
    <col min="7" max="16384" width="9" style="2"/>
  </cols>
  <sheetData>
    <row r="1" spans="1:6" ht="19">
      <c r="B1" s="1" t="s">
        <v>92</v>
      </c>
    </row>
    <row r="3" spans="1:6" ht="11.5" thickBot="1">
      <c r="F3" s="3" t="s">
        <v>35</v>
      </c>
    </row>
    <row r="4" spans="1:6" ht="12" customHeight="1">
      <c r="A4" s="274" t="s">
        <v>93</v>
      </c>
      <c r="B4" s="281" t="s">
        <v>272</v>
      </c>
      <c r="C4" s="281" t="s">
        <v>273</v>
      </c>
      <c r="D4" s="281" t="s">
        <v>274</v>
      </c>
      <c r="E4" s="281" t="s">
        <v>275</v>
      </c>
      <c r="F4" s="281" t="s">
        <v>276</v>
      </c>
    </row>
    <row r="5" spans="1:6" ht="12" customHeight="1" thickBot="1">
      <c r="A5" s="275"/>
      <c r="B5" s="282"/>
      <c r="C5" s="282"/>
      <c r="D5" s="282"/>
      <c r="E5" s="282"/>
      <c r="F5" s="282"/>
    </row>
    <row r="6" spans="1:6" ht="12" customHeight="1">
      <c r="A6" s="265" t="s">
        <v>94</v>
      </c>
      <c r="B6" s="6"/>
      <c r="C6" s="6"/>
      <c r="D6" s="6"/>
      <c r="E6" s="6"/>
      <c r="F6" s="6"/>
    </row>
    <row r="7" spans="1:6" ht="12" customHeight="1">
      <c r="A7" s="266"/>
      <c r="B7" s="49">
        <v>9213.6299999999992</v>
      </c>
      <c r="C7" s="49">
        <v>40872.120000000003</v>
      </c>
      <c r="D7" s="49">
        <v>60631.42</v>
      </c>
      <c r="E7" s="49">
        <v>58654.53</v>
      </c>
      <c r="F7" s="49">
        <v>-46107.74</v>
      </c>
    </row>
    <row r="8" spans="1:6" ht="12" customHeight="1">
      <c r="A8" s="34"/>
      <c r="B8" s="49"/>
      <c r="C8" s="49"/>
      <c r="D8" s="49"/>
      <c r="E8" s="49"/>
      <c r="F8" s="27" t="s">
        <v>322</v>
      </c>
    </row>
    <row r="9" spans="1:6" ht="12" customHeight="1">
      <c r="A9" s="34" t="s">
        <v>95</v>
      </c>
      <c r="B9" s="49">
        <v>4235.67</v>
      </c>
      <c r="C9" s="49">
        <v>11063.89</v>
      </c>
      <c r="D9" s="49">
        <v>32967.339999999997</v>
      </c>
      <c r="E9" s="49">
        <v>32919</v>
      </c>
      <c r="F9" s="49">
        <v>-11628.76</v>
      </c>
    </row>
    <row r="10" spans="1:6" ht="12" customHeight="1">
      <c r="A10" s="8"/>
      <c r="B10" s="49"/>
      <c r="C10" s="49"/>
      <c r="D10" s="49"/>
      <c r="E10" s="49"/>
      <c r="F10" s="49"/>
    </row>
    <row r="11" spans="1:6" ht="12" customHeight="1">
      <c r="A11" s="8" t="s">
        <v>96</v>
      </c>
      <c r="B11" s="49">
        <v>-2999.92</v>
      </c>
      <c r="C11" s="49">
        <v>14694.41</v>
      </c>
      <c r="D11" s="49">
        <v>21707.87</v>
      </c>
      <c r="E11" s="49">
        <v>11327.78</v>
      </c>
      <c r="F11" s="49">
        <v>-29316.7</v>
      </c>
    </row>
    <row r="12" spans="1:6" ht="12" customHeight="1">
      <c r="A12" s="34"/>
      <c r="B12" s="49"/>
      <c r="C12" s="49"/>
      <c r="D12" s="49"/>
      <c r="E12" s="49"/>
      <c r="F12" s="49"/>
    </row>
    <row r="13" spans="1:6" ht="12" customHeight="1">
      <c r="A13" s="34" t="s">
        <v>97</v>
      </c>
      <c r="B13" s="49">
        <v>7977.88</v>
      </c>
      <c r="C13" s="49">
        <v>15113.82</v>
      </c>
      <c r="D13" s="49">
        <v>5956.21</v>
      </c>
      <c r="E13" s="49">
        <v>14407.75</v>
      </c>
      <c r="F13" s="49">
        <v>-5162.28</v>
      </c>
    </row>
    <row r="14" spans="1:6" ht="12" customHeight="1">
      <c r="A14" s="266" t="s">
        <v>98</v>
      </c>
      <c r="B14" s="49"/>
      <c r="C14" s="49"/>
      <c r="D14" s="49"/>
      <c r="E14" s="49"/>
      <c r="F14" s="49"/>
    </row>
    <row r="15" spans="1:6" ht="12" customHeight="1">
      <c r="A15" s="266"/>
      <c r="B15" s="49">
        <v>15171.87</v>
      </c>
      <c r="C15" s="49">
        <v>21970.26</v>
      </c>
      <c r="D15" s="49">
        <v>18551.64</v>
      </c>
      <c r="E15" s="49">
        <v>25210.5</v>
      </c>
      <c r="F15" s="49">
        <v>-13586.01</v>
      </c>
    </row>
    <row r="16" spans="1:6" ht="12" customHeight="1">
      <c r="A16" s="266" t="s">
        <v>99</v>
      </c>
      <c r="B16" s="49"/>
      <c r="C16" s="49"/>
      <c r="D16" s="49"/>
      <c r="E16" s="49"/>
      <c r="F16" s="49"/>
    </row>
    <row r="17" spans="1:11" ht="12" customHeight="1">
      <c r="A17" s="266"/>
      <c r="B17" s="49">
        <v>3655.15</v>
      </c>
      <c r="C17" s="49">
        <v>3974.06</v>
      </c>
      <c r="D17" s="49">
        <v>-2947.19</v>
      </c>
      <c r="E17" s="49">
        <v>4301.96</v>
      </c>
      <c r="F17" s="49">
        <v>-7031.43</v>
      </c>
    </row>
    <row r="18" spans="1:11" s="76" customFormat="1" ht="12" customHeight="1">
      <c r="A18" s="269" t="s">
        <v>100</v>
      </c>
      <c r="B18" s="49"/>
      <c r="C18" s="49"/>
      <c r="D18" s="49"/>
      <c r="E18" s="49"/>
      <c r="F18" s="49"/>
      <c r="G18" s="84"/>
      <c r="H18" s="85"/>
      <c r="I18" s="86"/>
      <c r="J18" s="85"/>
      <c r="K18" s="86"/>
    </row>
    <row r="19" spans="1:11" s="76" customFormat="1" ht="12" customHeight="1">
      <c r="A19" s="269"/>
      <c r="B19" s="49">
        <v>2491.0500000000002</v>
      </c>
      <c r="C19" s="49">
        <v>2885.73</v>
      </c>
      <c r="D19" s="49">
        <v>2117.21</v>
      </c>
      <c r="E19" s="49">
        <v>3444.03</v>
      </c>
      <c r="F19" s="49">
        <v>3899.84</v>
      </c>
      <c r="G19" s="84"/>
      <c r="H19" s="85"/>
      <c r="I19" s="86"/>
      <c r="J19" s="85"/>
      <c r="K19" s="86"/>
    </row>
    <row r="20" spans="1:11" ht="12" customHeight="1">
      <c r="A20" s="266" t="s">
        <v>101</v>
      </c>
      <c r="B20" s="49"/>
      <c r="C20" s="49"/>
      <c r="D20" s="49"/>
      <c r="E20" s="49"/>
      <c r="F20" s="49"/>
    </row>
    <row r="21" spans="1:11" ht="12" customHeight="1">
      <c r="A21" s="266"/>
      <c r="B21" s="49">
        <v>2235.75</v>
      </c>
      <c r="C21" s="49">
        <v>2570.69</v>
      </c>
      <c r="D21" s="49">
        <v>3474.19</v>
      </c>
      <c r="E21" s="49">
        <v>3629.49</v>
      </c>
      <c r="F21" s="49">
        <v>-1242.7</v>
      </c>
    </row>
    <row r="22" spans="1:11" ht="12" customHeight="1">
      <c r="A22" s="266" t="s">
        <v>153</v>
      </c>
      <c r="B22" s="49"/>
      <c r="C22" s="49"/>
      <c r="D22" s="49"/>
      <c r="E22" s="49"/>
      <c r="F22" s="49"/>
    </row>
    <row r="23" spans="1:11" ht="12" customHeight="1">
      <c r="A23" s="266"/>
      <c r="B23" s="49">
        <v>-1026.1400000000001</v>
      </c>
      <c r="C23" s="49">
        <v>624.05999999999995</v>
      </c>
      <c r="D23" s="49">
        <v>2497.0300000000002</v>
      </c>
      <c r="E23" s="49">
        <v>267.56</v>
      </c>
      <c r="F23" s="49">
        <v>-2993.68</v>
      </c>
    </row>
    <row r="24" spans="1:11" ht="12" customHeight="1">
      <c r="A24" s="266" t="s">
        <v>154</v>
      </c>
      <c r="B24" s="49"/>
      <c r="C24" s="49"/>
      <c r="D24" s="49"/>
      <c r="E24" s="49"/>
      <c r="F24" s="49"/>
    </row>
    <row r="25" spans="1:11" ht="12" customHeight="1">
      <c r="A25" s="266"/>
      <c r="B25" s="49">
        <v>503.85</v>
      </c>
      <c r="C25" s="49">
        <v>1914.66</v>
      </c>
      <c r="D25" s="49">
        <v>2011.32</v>
      </c>
      <c r="E25" s="49">
        <v>-543.41</v>
      </c>
      <c r="F25" s="49">
        <v>-3240.04</v>
      </c>
    </row>
    <row r="26" spans="1:11" ht="12" customHeight="1">
      <c r="A26" s="270" t="s">
        <v>185</v>
      </c>
      <c r="B26" s="49"/>
      <c r="C26" s="49"/>
      <c r="D26" s="49"/>
      <c r="E26" s="49"/>
      <c r="F26" s="49"/>
    </row>
    <row r="27" spans="1:11" ht="12" customHeight="1">
      <c r="A27" s="270"/>
      <c r="B27" s="27" t="s">
        <v>253</v>
      </c>
      <c r="C27" s="27" t="s">
        <v>254</v>
      </c>
      <c r="D27" s="27" t="s">
        <v>255</v>
      </c>
      <c r="E27" s="27" t="s">
        <v>256</v>
      </c>
      <c r="F27" s="27" t="s">
        <v>278</v>
      </c>
    </row>
    <row r="28" spans="1:11" ht="12" customHeight="1">
      <c r="A28" s="283" t="s">
        <v>102</v>
      </c>
      <c r="B28" s="49"/>
      <c r="C28" s="49"/>
      <c r="D28" s="49"/>
      <c r="E28" s="49"/>
      <c r="F28" s="49"/>
    </row>
    <row r="29" spans="1:11" ht="12" customHeight="1">
      <c r="A29" s="283"/>
      <c r="B29" s="49">
        <v>718.94</v>
      </c>
      <c r="C29" s="49">
        <v>-188.1</v>
      </c>
      <c r="D29" s="49">
        <v>778.42</v>
      </c>
      <c r="E29" s="49">
        <v>1171.32</v>
      </c>
      <c r="F29" s="49">
        <v>-433.6</v>
      </c>
    </row>
    <row r="30" spans="1:11" ht="12" customHeight="1">
      <c r="A30" s="266" t="s">
        <v>103</v>
      </c>
      <c r="B30" s="49"/>
      <c r="C30" s="49"/>
      <c r="D30" s="49"/>
      <c r="E30" s="49"/>
      <c r="F30" s="49"/>
    </row>
    <row r="31" spans="1:11" ht="12" customHeight="1">
      <c r="A31" s="266"/>
      <c r="B31" s="49">
        <v>-5958.24</v>
      </c>
      <c r="C31" s="49">
        <v>18901.86</v>
      </c>
      <c r="D31" s="49">
        <v>42079.78</v>
      </c>
      <c r="E31" s="49">
        <v>33444.03</v>
      </c>
      <c r="F31" s="49">
        <v>-32521.73</v>
      </c>
    </row>
    <row r="32" spans="1:11" ht="12" customHeight="1">
      <c r="A32" s="266" t="s">
        <v>104</v>
      </c>
      <c r="B32" s="49"/>
      <c r="C32" s="49"/>
      <c r="D32" s="49"/>
      <c r="E32" s="49"/>
      <c r="F32" s="27" t="s">
        <v>323</v>
      </c>
    </row>
    <row r="33" spans="1:6" ht="12" customHeight="1">
      <c r="A33" s="266"/>
      <c r="B33" s="49">
        <v>-1625.2</v>
      </c>
      <c r="C33" s="49">
        <v>1295.8</v>
      </c>
      <c r="D33" s="49">
        <v>5749.65</v>
      </c>
      <c r="E33" s="49">
        <v>-2299.38</v>
      </c>
      <c r="F33" s="49">
        <v>-7986.64</v>
      </c>
    </row>
    <row r="34" spans="1:6" ht="12" customHeight="1">
      <c r="A34" s="266" t="s">
        <v>105</v>
      </c>
      <c r="B34" s="49"/>
      <c r="C34" s="49"/>
      <c r="D34" s="49"/>
      <c r="E34" s="49"/>
      <c r="F34" s="49"/>
    </row>
    <row r="35" spans="1:6" ht="12" customHeight="1">
      <c r="A35" s="266"/>
      <c r="B35" s="49">
        <v>6359.6</v>
      </c>
      <c r="C35" s="49">
        <v>9468.3700000000008</v>
      </c>
      <c r="D35" s="49">
        <v>17007.88</v>
      </c>
      <c r="E35" s="49">
        <v>9109.01</v>
      </c>
      <c r="F35" s="49">
        <v>-12750.91</v>
      </c>
    </row>
    <row r="36" spans="1:6" ht="12" customHeight="1">
      <c r="A36" s="270" t="s">
        <v>163</v>
      </c>
      <c r="B36" s="49"/>
      <c r="C36" s="49"/>
      <c r="D36" s="49"/>
      <c r="E36" s="49"/>
      <c r="F36" s="49"/>
    </row>
    <row r="37" spans="1:6" ht="12" customHeight="1">
      <c r="A37" s="270"/>
      <c r="B37" s="27" t="s">
        <v>257</v>
      </c>
      <c r="C37" s="27" t="s">
        <v>258</v>
      </c>
      <c r="D37" s="27" t="s">
        <v>259</v>
      </c>
      <c r="E37" s="27" t="s">
        <v>260</v>
      </c>
      <c r="F37" s="27" t="s">
        <v>279</v>
      </c>
    </row>
    <row r="38" spans="1:6" ht="12" customHeight="1">
      <c r="A38" s="266" t="s">
        <v>106</v>
      </c>
      <c r="B38" s="49"/>
      <c r="C38" s="49"/>
      <c r="D38" s="49"/>
      <c r="E38" s="49"/>
      <c r="F38" s="49"/>
    </row>
    <row r="39" spans="1:6" ht="12" customHeight="1" thickBot="1">
      <c r="A39" s="271"/>
      <c r="B39" s="77">
        <v>-12056.98</v>
      </c>
      <c r="C39" s="77">
        <v>8607.77</v>
      </c>
      <c r="D39" s="77">
        <v>15825.37</v>
      </c>
      <c r="E39" s="77">
        <v>22079.73</v>
      </c>
      <c r="F39" s="77">
        <v>-9579.6299999999992</v>
      </c>
    </row>
    <row r="40" spans="1:6" ht="12" customHeight="1">
      <c r="A40" s="50"/>
      <c r="B40" s="87"/>
      <c r="C40" s="87"/>
      <c r="D40" s="87"/>
      <c r="E40" s="87"/>
      <c r="F40" s="87"/>
    </row>
    <row r="41" spans="1:6" ht="12" customHeight="1">
      <c r="A41" s="34" t="s">
        <v>107</v>
      </c>
      <c r="B41" s="88">
        <v>7.0043797249021198</v>
      </c>
      <c r="C41" s="88">
        <v>7.1280226252979704</v>
      </c>
      <c r="D41" s="88">
        <v>7.18689415891654</v>
      </c>
      <c r="E41" s="88">
        <v>7.7603490918149696</v>
      </c>
      <c r="F41" s="88">
        <v>7.6518850552194797</v>
      </c>
    </row>
    <row r="42" spans="1:6" ht="12" customHeight="1" thickBot="1">
      <c r="A42" s="42"/>
      <c r="B42" s="89"/>
      <c r="C42" s="89"/>
      <c r="D42" s="89"/>
      <c r="E42" s="89"/>
      <c r="F42" s="90" t="s">
        <v>324</v>
      </c>
    </row>
    <row r="43" spans="1:6" ht="7.5" customHeight="1">
      <c r="A43" s="13"/>
      <c r="B43" s="14"/>
      <c r="C43" s="14"/>
      <c r="D43" s="14"/>
      <c r="E43" s="14"/>
      <c r="F43" s="14"/>
    </row>
    <row r="44" spans="1:6" ht="11.9" customHeight="1">
      <c r="A44" s="51" t="s">
        <v>108</v>
      </c>
    </row>
    <row r="45" spans="1:6" ht="11.9" customHeight="1">
      <c r="A45" s="286" t="s">
        <v>325</v>
      </c>
      <c r="B45" s="287" t="s">
        <v>109</v>
      </c>
      <c r="C45" s="287"/>
      <c r="D45" s="284" t="s">
        <v>110</v>
      </c>
    </row>
    <row r="46" spans="1:6" ht="11.9" customHeight="1">
      <c r="A46" s="286"/>
      <c r="B46" s="285" t="s">
        <v>111</v>
      </c>
      <c r="C46" s="285"/>
      <c r="D46" s="284"/>
    </row>
    <row r="47" spans="1:6" ht="11.9" customHeight="1">
      <c r="A47" s="13" t="s">
        <v>327</v>
      </c>
    </row>
    <row r="48" spans="1:6" ht="11.9" customHeight="1">
      <c r="A48" s="13" t="s">
        <v>326</v>
      </c>
    </row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83" spans="1:6" s="15" customFormat="1"/>
    <row r="84" spans="1:6" s="15" customFormat="1"/>
    <row r="85" spans="1:6" s="15" customFormat="1"/>
    <row r="86" spans="1:6" s="15" customFormat="1">
      <c r="A86" s="13"/>
      <c r="B86" s="14"/>
      <c r="C86" s="14"/>
      <c r="D86" s="14"/>
      <c r="E86" s="14"/>
      <c r="F86" s="14"/>
    </row>
    <row r="87" spans="1:6" s="15" customFormat="1">
      <c r="A87" s="13"/>
      <c r="B87" s="14"/>
      <c r="C87" s="14"/>
      <c r="D87" s="14"/>
      <c r="E87" s="14"/>
      <c r="F87" s="14"/>
    </row>
    <row r="88" spans="1:6" s="15" customFormat="1">
      <c r="B88" s="14"/>
      <c r="C88" s="14"/>
      <c r="D88" s="14"/>
      <c r="E88" s="14"/>
      <c r="F88" s="14"/>
    </row>
    <row r="89" spans="1:6">
      <c r="A89" s="15"/>
      <c r="B89" s="14"/>
      <c r="C89" s="14"/>
      <c r="D89" s="14"/>
      <c r="E89" s="14"/>
      <c r="F89" s="14"/>
    </row>
    <row r="90" spans="1:6">
      <c r="A90" s="15"/>
      <c r="B90" s="14"/>
      <c r="C90" s="14"/>
      <c r="D90" s="14"/>
      <c r="E90" s="14"/>
      <c r="F90" s="14"/>
    </row>
    <row r="91" spans="1:6">
      <c r="A91" s="15"/>
      <c r="B91" s="14"/>
      <c r="C91" s="14"/>
      <c r="D91" s="14"/>
      <c r="E91" s="14"/>
      <c r="F91" s="14"/>
    </row>
    <row r="92" spans="1:6">
      <c r="A92" s="15"/>
      <c r="B92" s="14"/>
      <c r="C92" s="14"/>
      <c r="D92" s="14"/>
      <c r="E92" s="14"/>
      <c r="F92" s="14"/>
    </row>
    <row r="93" spans="1:6">
      <c r="A93" s="15"/>
      <c r="B93" s="14"/>
      <c r="C93" s="14"/>
      <c r="D93" s="14"/>
      <c r="E93" s="14"/>
      <c r="F93" s="14"/>
    </row>
    <row r="94" spans="1:6">
      <c r="A94" s="13"/>
      <c r="B94" s="14"/>
      <c r="C94" s="14"/>
      <c r="D94" s="14"/>
      <c r="E94" s="14"/>
      <c r="F94" s="14"/>
    </row>
    <row r="95" spans="1:6">
      <c r="A95" s="13"/>
      <c r="B95" s="14"/>
      <c r="C95" s="14"/>
      <c r="D95" s="14"/>
      <c r="E95" s="14"/>
      <c r="F95" s="14"/>
    </row>
    <row r="96" spans="1:6">
      <c r="A96" s="13"/>
      <c r="B96" s="14"/>
      <c r="C96" s="14"/>
      <c r="D96" s="14"/>
      <c r="E96" s="14"/>
      <c r="F96" s="14"/>
    </row>
    <row r="97" spans="1:6">
      <c r="A97" s="13"/>
      <c r="B97" s="14"/>
      <c r="C97" s="14"/>
      <c r="D97" s="14"/>
      <c r="E97" s="14"/>
      <c r="F97" s="14"/>
    </row>
    <row r="98" spans="1:6">
      <c r="A98" s="13"/>
      <c r="B98" s="14"/>
      <c r="C98" s="14"/>
      <c r="D98" s="14"/>
      <c r="E98" s="14"/>
      <c r="F98" s="14"/>
    </row>
    <row r="99" spans="1:6">
      <c r="A99" s="13"/>
      <c r="B99" s="14"/>
      <c r="C99" s="14"/>
      <c r="D99" s="14"/>
      <c r="E99" s="14"/>
      <c r="F99" s="14"/>
    </row>
    <row r="100" spans="1:6">
      <c r="A100" s="13"/>
      <c r="B100" s="14"/>
      <c r="C100" s="14"/>
      <c r="D100" s="14"/>
      <c r="E100" s="14"/>
      <c r="F100" s="14"/>
    </row>
    <row r="101" spans="1:6">
      <c r="A101" s="15"/>
      <c r="B101" s="14"/>
      <c r="C101" s="14"/>
      <c r="D101" s="14"/>
      <c r="E101" s="14"/>
      <c r="F101" s="14"/>
    </row>
    <row r="102" spans="1:6">
      <c r="A102" s="15"/>
      <c r="B102" s="14"/>
      <c r="C102" s="14"/>
      <c r="D102" s="14"/>
      <c r="E102" s="14"/>
      <c r="F102" s="14"/>
    </row>
  </sheetData>
  <mergeCells count="24">
    <mergeCell ref="A30:A31"/>
    <mergeCell ref="A32:A33"/>
    <mergeCell ref="A26:A27"/>
    <mergeCell ref="D45:D46"/>
    <mergeCell ref="B46:C46"/>
    <mergeCell ref="A34:A35"/>
    <mergeCell ref="A38:A39"/>
    <mergeCell ref="A45:A46"/>
    <mergeCell ref="B45:C45"/>
    <mergeCell ref="A36:A37"/>
    <mergeCell ref="A16:A17"/>
    <mergeCell ref="A18:A19"/>
    <mergeCell ref="A20:A21"/>
    <mergeCell ref="A22:A23"/>
    <mergeCell ref="A24:A25"/>
    <mergeCell ref="A28:A29"/>
    <mergeCell ref="E4:E5"/>
    <mergeCell ref="F4:F5"/>
    <mergeCell ref="A6:A7"/>
    <mergeCell ref="A14:A15"/>
    <mergeCell ref="A4:A5"/>
    <mergeCell ref="B4:B5"/>
    <mergeCell ref="C4:C5"/>
    <mergeCell ref="D4:D5"/>
  </mergeCells>
  <phoneticPr fontId="1"/>
  <pageMargins left="0.75" right="0.75" top="1" bottom="1" header="0.51200000000000001" footer="0.51200000000000001"/>
  <pageSetup paperSize="9" scale="83" orientation="landscape" horizontalDpi="300" verticalDpi="300" r:id="rId1"/>
  <headerFooter alignWithMargins="0"/>
  <colBreaks count="1" manualBreakCount="1">
    <brk id="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7446A-0B6C-4B8E-9C7A-8925F6CF2C26}">
  <dimension ref="A1:K105"/>
  <sheetViews>
    <sheetView showGridLines="0" view="pageBreakPreview" zoomScaleNormal="100" workbookViewId="0"/>
  </sheetViews>
  <sheetFormatPr defaultColWidth="9" defaultRowHeight="11"/>
  <cols>
    <col min="1" max="1" width="25.453125" style="2" customWidth="1"/>
    <col min="2" max="2" width="15.6328125" style="2" customWidth="1"/>
    <col min="3" max="3" width="7.6328125" style="2" customWidth="1"/>
    <col min="4" max="4" width="15.6328125" style="2" customWidth="1"/>
    <col min="5" max="5" width="7.6328125" style="2" customWidth="1"/>
    <col min="6" max="6" width="15.6328125" style="2" customWidth="1"/>
    <col min="7" max="7" width="7.6328125" style="2" customWidth="1"/>
    <col min="8" max="8" width="15.6328125" style="2" customWidth="1"/>
    <col min="9" max="9" width="7.6328125" style="2" customWidth="1"/>
    <col min="10" max="10" width="15.6328125" style="2" customWidth="1"/>
    <col min="11" max="11" width="7.6328125" style="2" customWidth="1"/>
    <col min="12" max="16384" width="9" style="2"/>
  </cols>
  <sheetData>
    <row r="1" spans="1:11" ht="19">
      <c r="B1" s="1" t="s">
        <v>328</v>
      </c>
    </row>
    <row r="3" spans="1:11" ht="11.5" thickBot="1">
      <c r="K3" s="3" t="s">
        <v>112</v>
      </c>
    </row>
    <row r="4" spans="1:11" ht="12" customHeight="1" thickBot="1">
      <c r="A4" s="267" t="s">
        <v>113</v>
      </c>
      <c r="B4" s="263" t="s">
        <v>272</v>
      </c>
      <c r="C4" s="263"/>
      <c r="D4" s="263" t="s">
        <v>273</v>
      </c>
      <c r="E4" s="263"/>
      <c r="F4" s="263" t="s">
        <v>274</v>
      </c>
      <c r="G4" s="263"/>
      <c r="H4" s="263" t="s">
        <v>275</v>
      </c>
      <c r="I4" s="263"/>
      <c r="J4" s="263" t="s">
        <v>276</v>
      </c>
      <c r="K4" s="263"/>
    </row>
    <row r="5" spans="1:11" ht="25" customHeight="1" thickBot="1">
      <c r="A5" s="268"/>
      <c r="B5" s="4"/>
      <c r="C5" s="5" t="s">
        <v>114</v>
      </c>
      <c r="D5" s="4"/>
      <c r="E5" s="5" t="s">
        <v>114</v>
      </c>
      <c r="F5" s="4"/>
      <c r="G5" s="5" t="s">
        <v>114</v>
      </c>
      <c r="H5" s="4"/>
      <c r="I5" s="5" t="s">
        <v>114</v>
      </c>
      <c r="J5" s="4"/>
      <c r="K5" s="5" t="s">
        <v>114</v>
      </c>
    </row>
    <row r="6" spans="1:11" ht="12" customHeight="1">
      <c r="A6" s="265" t="s">
        <v>115</v>
      </c>
      <c r="B6" s="6"/>
      <c r="C6" s="52"/>
      <c r="D6" s="6"/>
      <c r="E6" s="52"/>
      <c r="F6" s="6"/>
      <c r="G6" s="52"/>
      <c r="H6" s="6"/>
      <c r="I6" s="52"/>
      <c r="J6" s="6"/>
      <c r="K6" s="52"/>
    </row>
    <row r="7" spans="1:11" ht="12" customHeight="1">
      <c r="A7" s="266"/>
      <c r="B7" s="9">
        <v>2184148.56</v>
      </c>
      <c r="C7" s="53">
        <v>5.6795543842760736</v>
      </c>
      <c r="D7" s="9">
        <v>2320094.4500000002</v>
      </c>
      <c r="E7" s="53">
        <v>6.2242052802488956</v>
      </c>
      <c r="F7" s="9">
        <v>2427987.6800000002</v>
      </c>
      <c r="G7" s="53">
        <v>4.6503809360002606</v>
      </c>
      <c r="H7" s="9">
        <v>2455006.89</v>
      </c>
      <c r="I7" s="53">
        <v>1.112823191919972</v>
      </c>
      <c r="J7" s="9">
        <v>2087231.33</v>
      </c>
      <c r="K7" s="53">
        <v>-14.980632498347092</v>
      </c>
    </row>
    <row r="8" spans="1:11" ht="12" customHeight="1">
      <c r="A8" s="266" t="s">
        <v>116</v>
      </c>
      <c r="B8" s="9"/>
      <c r="C8" s="53"/>
      <c r="D8" s="9"/>
      <c r="E8" s="53"/>
      <c r="F8" s="9"/>
      <c r="G8" s="53"/>
      <c r="H8" s="9"/>
      <c r="I8" s="53"/>
      <c r="J8" s="29" t="s">
        <v>332</v>
      </c>
      <c r="K8" s="30" t="s">
        <v>333</v>
      </c>
    </row>
    <row r="9" spans="1:11" ht="12" customHeight="1">
      <c r="A9" s="266"/>
      <c r="B9" s="9">
        <v>1797451.08</v>
      </c>
      <c r="C9" s="53">
        <v>3.5790339449862358</v>
      </c>
      <c r="D9" s="9">
        <v>1910029.78</v>
      </c>
      <c r="E9" s="53">
        <v>6.2632413895792922</v>
      </c>
      <c r="F9" s="9">
        <v>1986788.48</v>
      </c>
      <c r="G9" s="53">
        <v>4.0187174463845281</v>
      </c>
      <c r="H9" s="9">
        <v>1980527.46</v>
      </c>
      <c r="I9" s="53">
        <v>-0.31513269092440055</v>
      </c>
      <c r="J9" s="9">
        <v>1580659.68</v>
      </c>
      <c r="K9" s="53">
        <v>-20.189963940212166</v>
      </c>
    </row>
    <row r="10" spans="1:11" ht="12" customHeight="1">
      <c r="A10" s="266" t="s">
        <v>117</v>
      </c>
      <c r="B10" s="9"/>
      <c r="C10" s="10"/>
      <c r="D10" s="9"/>
      <c r="E10" s="10"/>
      <c r="F10" s="9"/>
      <c r="G10" s="10"/>
      <c r="H10" s="9"/>
      <c r="I10" s="10"/>
      <c r="J10" s="29" t="s">
        <v>334</v>
      </c>
      <c r="K10" s="20" t="s">
        <v>335</v>
      </c>
    </row>
    <row r="11" spans="1:11" ht="12" customHeight="1">
      <c r="A11" s="266"/>
      <c r="B11" s="9">
        <v>1744840.92</v>
      </c>
      <c r="C11" s="10">
        <v>-0.83525899999999997</v>
      </c>
      <c r="D11" s="9">
        <v>1799671.96</v>
      </c>
      <c r="E11" s="10">
        <v>3.1424660000000002</v>
      </c>
      <c r="F11" s="9">
        <v>1623640.74</v>
      </c>
      <c r="G11" s="10">
        <v>-9.7812950000000001</v>
      </c>
      <c r="H11" s="9">
        <v>1623223.48</v>
      </c>
      <c r="I11" s="260">
        <v>-2.5699E-2</v>
      </c>
      <c r="J11" s="9">
        <v>1734727.33</v>
      </c>
      <c r="K11" s="10">
        <v>6.8692849999999996</v>
      </c>
    </row>
    <row r="12" spans="1:11" ht="12" customHeight="1">
      <c r="A12" s="266" t="s">
        <v>118</v>
      </c>
      <c r="B12" s="9"/>
      <c r="C12" s="10"/>
      <c r="D12" s="9"/>
      <c r="E12" s="10"/>
      <c r="F12" s="9"/>
      <c r="G12" s="10"/>
      <c r="H12" s="9"/>
      <c r="I12" s="10"/>
      <c r="J12" s="29" t="s">
        <v>336</v>
      </c>
      <c r="K12" s="20" t="s">
        <v>337</v>
      </c>
    </row>
    <row r="13" spans="1:11" ht="12" customHeight="1">
      <c r="A13" s="266"/>
      <c r="B13" s="9">
        <v>2657495.4900000002</v>
      </c>
      <c r="C13" s="10">
        <v>3.6146069999999999</v>
      </c>
      <c r="D13" s="9">
        <v>2499726.06</v>
      </c>
      <c r="E13" s="10">
        <v>-5.9367710000000002</v>
      </c>
      <c r="F13" s="9">
        <v>2617533.36</v>
      </c>
      <c r="G13" s="10">
        <v>4.7128079999999999</v>
      </c>
      <c r="H13" s="9">
        <v>2466645.85</v>
      </c>
      <c r="I13" s="10">
        <v>-5.7644919999999997</v>
      </c>
      <c r="J13" s="9">
        <v>2945324.4526999998</v>
      </c>
      <c r="K13" s="10">
        <v>19.406053</v>
      </c>
    </row>
    <row r="14" spans="1:11" ht="12" customHeight="1">
      <c r="A14" s="266" t="s">
        <v>119</v>
      </c>
      <c r="B14" s="9"/>
      <c r="C14" s="10"/>
      <c r="D14" s="9"/>
      <c r="E14" s="10"/>
      <c r="F14" s="9"/>
      <c r="G14" s="10"/>
      <c r="H14" s="9"/>
      <c r="I14" s="10"/>
      <c r="J14" s="29" t="s">
        <v>338</v>
      </c>
      <c r="K14" s="20" t="s">
        <v>339</v>
      </c>
    </row>
    <row r="15" spans="1:11" ht="12" customHeight="1">
      <c r="A15" s="266"/>
      <c r="B15" s="9">
        <v>1370709.15</v>
      </c>
      <c r="C15" s="10">
        <v>6.2068500000000002</v>
      </c>
      <c r="D15" s="9">
        <v>1403814.4</v>
      </c>
      <c r="E15" s="10">
        <v>2.4151910000000001</v>
      </c>
      <c r="F15" s="9">
        <v>1471060.41</v>
      </c>
      <c r="G15" s="10">
        <v>4.790235</v>
      </c>
      <c r="H15" s="9">
        <v>1353663.45</v>
      </c>
      <c r="I15" s="10">
        <v>-7.9804310000000003</v>
      </c>
      <c r="J15" s="9">
        <v>1431001.48597</v>
      </c>
      <c r="K15" s="10">
        <v>5.7132399999999999</v>
      </c>
    </row>
    <row r="16" spans="1:11" ht="12" customHeight="1">
      <c r="A16" s="64"/>
      <c r="B16" s="9"/>
      <c r="C16" s="10"/>
      <c r="D16" s="9"/>
      <c r="E16" s="10"/>
      <c r="F16" s="9"/>
      <c r="G16" s="10"/>
      <c r="H16" s="9"/>
      <c r="I16" s="10"/>
      <c r="J16" s="29" t="s">
        <v>341</v>
      </c>
      <c r="K16" s="20" t="s">
        <v>342</v>
      </c>
    </row>
    <row r="17" spans="1:11" ht="12" customHeight="1">
      <c r="A17" s="64" t="s">
        <v>340</v>
      </c>
      <c r="B17" s="9">
        <v>156102.96</v>
      </c>
      <c r="C17" s="10">
        <v>36.027645999999997</v>
      </c>
      <c r="D17" s="9">
        <v>135477.4</v>
      </c>
      <c r="E17" s="10">
        <v>-13.212792</v>
      </c>
      <c r="F17" s="9">
        <v>156848.35999999999</v>
      </c>
      <c r="G17" s="10">
        <v>15.774557</v>
      </c>
      <c r="H17" s="9">
        <v>191687</v>
      </c>
      <c r="I17" s="10">
        <v>22.211670000000002</v>
      </c>
      <c r="J17" s="9">
        <v>244083.71</v>
      </c>
      <c r="K17" s="10">
        <v>27.334513999999999</v>
      </c>
    </row>
    <row r="18" spans="1:11" ht="12" customHeight="1" thickBot="1">
      <c r="A18" s="67"/>
      <c r="B18" s="9"/>
      <c r="C18" s="10"/>
      <c r="D18" s="9"/>
      <c r="E18" s="10"/>
      <c r="F18" s="9"/>
      <c r="G18" s="10"/>
      <c r="H18" s="9"/>
      <c r="I18" s="10"/>
      <c r="J18" s="29" t="s">
        <v>343</v>
      </c>
      <c r="K18" s="20" t="s">
        <v>344</v>
      </c>
    </row>
    <row r="19" spans="1:11" ht="12" customHeight="1">
      <c r="A19" s="72"/>
      <c r="B19" s="54"/>
      <c r="C19" s="55"/>
      <c r="D19" s="54"/>
      <c r="E19" s="55"/>
      <c r="F19" s="54"/>
      <c r="G19" s="55"/>
      <c r="H19" s="54"/>
      <c r="I19" s="55"/>
      <c r="J19" s="54"/>
      <c r="K19" s="55"/>
    </row>
    <row r="20" spans="1:11" ht="12" customHeight="1">
      <c r="A20" s="64" t="s">
        <v>331</v>
      </c>
      <c r="B20" s="288">
        <v>10.619934000000001</v>
      </c>
      <c r="C20" s="289"/>
      <c r="D20" s="288">
        <v>10.186465999999999</v>
      </c>
      <c r="E20" s="289"/>
      <c r="F20" s="288">
        <v>10.34728</v>
      </c>
      <c r="G20" s="289"/>
      <c r="H20" s="290">
        <v>9.8226580000000006</v>
      </c>
      <c r="I20" s="291"/>
      <c r="J20" s="290">
        <v>11.130496000000001</v>
      </c>
      <c r="K20" s="291"/>
    </row>
    <row r="21" spans="1:11" ht="12" customHeight="1" thickBot="1">
      <c r="A21" s="67"/>
      <c r="B21" s="294"/>
      <c r="C21" s="295"/>
      <c r="D21" s="294"/>
      <c r="E21" s="295"/>
      <c r="F21" s="294"/>
      <c r="G21" s="295"/>
      <c r="H21" s="292"/>
      <c r="I21" s="293"/>
      <c r="J21" s="292" t="s">
        <v>345</v>
      </c>
      <c r="K21" s="293"/>
    </row>
    <row r="22" spans="1:11" ht="11.9" customHeight="1">
      <c r="A22" s="13"/>
      <c r="B22" s="14"/>
      <c r="C22" s="15"/>
      <c r="D22" s="14"/>
      <c r="E22" s="15"/>
      <c r="F22" s="14"/>
      <c r="G22" s="15"/>
      <c r="H22" s="14"/>
      <c r="I22" s="15"/>
      <c r="J22" s="14"/>
      <c r="K22" s="15"/>
    </row>
    <row r="23" spans="1:11" ht="11.9" customHeight="1">
      <c r="A23" s="276" t="s">
        <v>329</v>
      </c>
      <c r="B23" s="277" t="s">
        <v>120</v>
      </c>
      <c r="C23" s="277"/>
      <c r="D23" s="277"/>
      <c r="E23" s="277"/>
      <c r="F23" s="277"/>
      <c r="G23" s="277"/>
      <c r="H23" s="277"/>
      <c r="I23" s="280" t="s">
        <v>110</v>
      </c>
      <c r="J23" s="14"/>
      <c r="K23" s="15"/>
    </row>
    <row r="24" spans="1:11" ht="11.9" customHeight="1">
      <c r="A24" s="276"/>
      <c r="B24" s="278" t="s">
        <v>111</v>
      </c>
      <c r="C24" s="278"/>
      <c r="D24" s="278"/>
      <c r="E24" s="278"/>
      <c r="F24" s="278"/>
      <c r="G24" s="278"/>
      <c r="H24" s="278"/>
      <c r="I24" s="280"/>
      <c r="J24" s="14"/>
      <c r="K24" s="15"/>
    </row>
    <row r="25" spans="1:11" ht="11.9" customHeight="1">
      <c r="A25" s="65" t="s">
        <v>409</v>
      </c>
      <c r="B25" s="14"/>
      <c r="C25" s="15"/>
      <c r="D25" s="14"/>
      <c r="E25" s="15"/>
      <c r="F25" s="14"/>
      <c r="G25" s="15"/>
      <c r="H25" s="14"/>
      <c r="I25" s="15"/>
      <c r="J25" s="14"/>
      <c r="K25" s="15"/>
    </row>
    <row r="26" spans="1:11" ht="11.9" customHeight="1">
      <c r="A26" s="65" t="s">
        <v>330</v>
      </c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/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/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/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/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/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/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/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/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/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>
      <c r="A38" s="13"/>
      <c r="B38" s="14"/>
      <c r="C38" s="15"/>
      <c r="D38" s="14"/>
      <c r="E38" s="15"/>
      <c r="F38" s="14"/>
      <c r="G38" s="15"/>
      <c r="H38" s="14"/>
      <c r="I38" s="15"/>
      <c r="J38" s="14"/>
      <c r="K38" s="15"/>
    </row>
    <row r="39" spans="1:11" ht="11.9" customHeight="1">
      <c r="A39" s="13"/>
      <c r="B39" s="14"/>
      <c r="C39" s="15"/>
      <c r="D39" s="14"/>
      <c r="E39" s="15"/>
      <c r="F39" s="14"/>
      <c r="G39" s="15"/>
      <c r="H39" s="14"/>
      <c r="I39" s="15"/>
      <c r="J39" s="14"/>
      <c r="K39" s="15"/>
    </row>
    <row r="40" spans="1:11" ht="11.9" customHeight="1">
      <c r="A40" s="13"/>
      <c r="B40" s="14"/>
      <c r="C40" s="15"/>
      <c r="D40" s="14"/>
      <c r="E40" s="15"/>
      <c r="F40" s="14"/>
      <c r="G40" s="15"/>
      <c r="H40" s="14"/>
      <c r="I40" s="15"/>
      <c r="J40" s="14"/>
      <c r="K40" s="15"/>
    </row>
    <row r="41" spans="1:11" ht="11.9" customHeight="1">
      <c r="A41" s="13"/>
      <c r="B41" s="14"/>
      <c r="C41" s="15"/>
      <c r="D41" s="14"/>
      <c r="E41" s="15"/>
      <c r="F41" s="14"/>
      <c r="G41" s="15"/>
      <c r="H41" s="14"/>
      <c r="I41" s="15"/>
      <c r="J41" s="14"/>
      <c r="K41" s="15"/>
    </row>
    <row r="42" spans="1:11" ht="11.9" customHeight="1">
      <c r="A42" s="13"/>
      <c r="B42" s="14"/>
      <c r="C42" s="15"/>
      <c r="D42" s="14"/>
      <c r="E42" s="15"/>
      <c r="F42" s="14"/>
      <c r="G42" s="15"/>
      <c r="H42" s="14"/>
      <c r="I42" s="15"/>
      <c r="J42" s="14"/>
      <c r="K42" s="15"/>
    </row>
    <row r="43" spans="1:11" ht="11.9" customHeight="1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</row>
    <row r="44" spans="1:11" ht="11.9" customHeight="1">
      <c r="A44" s="13"/>
      <c r="B44" s="14"/>
      <c r="C44" s="15"/>
      <c r="D44" s="14"/>
      <c r="E44" s="15"/>
      <c r="F44" s="14"/>
      <c r="G44" s="15"/>
      <c r="H44" s="14"/>
      <c r="I44" s="15"/>
      <c r="J44" s="14"/>
      <c r="K44" s="15"/>
    </row>
    <row r="45" spans="1:11" ht="11.9" customHeight="1">
      <c r="A45" s="13"/>
      <c r="B45" s="14"/>
      <c r="C45" s="15"/>
      <c r="D45" s="14"/>
      <c r="E45" s="15"/>
      <c r="F45" s="14"/>
      <c r="G45" s="15"/>
      <c r="H45" s="14"/>
      <c r="I45" s="15"/>
      <c r="J45" s="14"/>
      <c r="K45" s="15"/>
    </row>
    <row r="46" spans="1:11" ht="11.9" customHeight="1">
      <c r="A46" s="13"/>
      <c r="B46" s="14"/>
      <c r="C46" s="15"/>
      <c r="D46" s="14"/>
      <c r="E46" s="15"/>
      <c r="F46" s="14"/>
      <c r="G46" s="15"/>
      <c r="H46" s="14"/>
      <c r="I46" s="15"/>
      <c r="J46" s="14"/>
      <c r="K46" s="15"/>
    </row>
    <row r="47" spans="1:11" ht="11.9" customHeight="1"/>
    <row r="48" spans="1:11" ht="11.9" customHeight="1"/>
    <row r="49" ht="11.9" customHeight="1"/>
    <row r="50" ht="11.9" customHeight="1"/>
    <row r="51" ht="11.9" customHeight="1"/>
    <row r="52" ht="11.9" customHeight="1"/>
    <row r="53" ht="11.9" customHeight="1"/>
    <row r="54" ht="11.9" customHeight="1"/>
    <row r="55" ht="11.9" customHeight="1"/>
    <row r="56" ht="11.9" customHeight="1"/>
    <row r="57" ht="11.9" customHeight="1"/>
    <row r="58" ht="11.9" customHeight="1"/>
    <row r="59" ht="11.9" customHeight="1"/>
    <row r="60" ht="11.9" customHeight="1"/>
    <row r="61" ht="11.9" customHeight="1"/>
    <row r="62" ht="11.9" customHeight="1"/>
    <row r="63" ht="11.9" customHeight="1"/>
    <row r="64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87" spans="1:10" s="15" customFormat="1"/>
    <row r="88" spans="1:10" s="15" customFormat="1"/>
    <row r="89" spans="1:10" s="15" customFormat="1">
      <c r="A89" s="13"/>
      <c r="B89" s="14"/>
      <c r="D89" s="14"/>
      <c r="F89" s="14"/>
      <c r="H89" s="14"/>
      <c r="J89" s="14"/>
    </row>
    <row r="90" spans="1:10" s="15" customFormat="1">
      <c r="A90" s="13"/>
      <c r="B90" s="14"/>
      <c r="D90" s="14"/>
      <c r="F90" s="14"/>
      <c r="H90" s="14"/>
      <c r="J90" s="14"/>
    </row>
    <row r="91" spans="1:10" s="15" customFormat="1">
      <c r="B91" s="14"/>
      <c r="D91" s="14"/>
      <c r="F91" s="14"/>
      <c r="H91" s="14"/>
      <c r="J91" s="14"/>
    </row>
    <row r="92" spans="1:10">
      <c r="A92" s="15"/>
      <c r="B92" s="14"/>
      <c r="D92" s="14"/>
      <c r="F92" s="14"/>
      <c r="H92" s="14"/>
      <c r="J92" s="14"/>
    </row>
    <row r="93" spans="1:10">
      <c r="A93" s="15"/>
      <c r="B93" s="14"/>
      <c r="D93" s="14"/>
      <c r="F93" s="14"/>
      <c r="H93" s="14"/>
      <c r="J93" s="14"/>
    </row>
    <row r="94" spans="1:10">
      <c r="A94" s="15"/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  <row r="97" spans="1:10">
      <c r="A97" s="13"/>
      <c r="B97" s="14"/>
      <c r="D97" s="14"/>
      <c r="F97" s="14"/>
      <c r="H97" s="14"/>
      <c r="J97" s="14"/>
    </row>
    <row r="98" spans="1:10">
      <c r="A98" s="13"/>
      <c r="B98" s="14"/>
      <c r="D98" s="14"/>
      <c r="F98" s="14"/>
      <c r="H98" s="14"/>
      <c r="J98" s="14"/>
    </row>
    <row r="99" spans="1:10">
      <c r="A99" s="13"/>
      <c r="B99" s="14"/>
      <c r="D99" s="14"/>
      <c r="F99" s="14"/>
      <c r="H99" s="14"/>
      <c r="J99" s="14"/>
    </row>
    <row r="100" spans="1:10">
      <c r="A100" s="13"/>
      <c r="B100" s="14"/>
      <c r="D100" s="14"/>
      <c r="F100" s="14"/>
      <c r="H100" s="14"/>
      <c r="J100" s="14"/>
    </row>
    <row r="101" spans="1:10">
      <c r="A101" s="13"/>
      <c r="B101" s="14"/>
      <c r="D101" s="14"/>
      <c r="F101" s="14"/>
      <c r="H101" s="14"/>
      <c r="J101" s="14"/>
    </row>
    <row r="102" spans="1:10">
      <c r="A102" s="13"/>
      <c r="B102" s="14"/>
      <c r="D102" s="14"/>
      <c r="F102" s="14"/>
      <c r="H102" s="14"/>
      <c r="J102" s="14"/>
    </row>
    <row r="103" spans="1:10">
      <c r="A103" s="13"/>
      <c r="B103" s="14"/>
      <c r="D103" s="14"/>
      <c r="F103" s="14"/>
      <c r="H103" s="14"/>
      <c r="J103" s="14"/>
    </row>
    <row r="104" spans="1:10">
      <c r="A104" s="15"/>
      <c r="B104" s="14"/>
      <c r="D104" s="14"/>
      <c r="F104" s="14"/>
      <c r="H104" s="14"/>
      <c r="J104" s="14"/>
    </row>
    <row r="105" spans="1:10">
      <c r="A105" s="15"/>
      <c r="B105" s="14"/>
      <c r="D105" s="14"/>
      <c r="F105" s="14"/>
      <c r="H105" s="14"/>
      <c r="J105" s="14"/>
    </row>
  </sheetData>
  <mergeCells count="25">
    <mergeCell ref="B20:C20"/>
    <mergeCell ref="A23:A24"/>
    <mergeCell ref="B23:H23"/>
    <mergeCell ref="I23:I24"/>
    <mergeCell ref="B24:H24"/>
    <mergeCell ref="F4:G4"/>
    <mergeCell ref="A10:A11"/>
    <mergeCell ref="A12:A13"/>
    <mergeCell ref="A14:A15"/>
    <mergeCell ref="J21:K21"/>
    <mergeCell ref="H21:I21"/>
    <mergeCell ref="B21:C21"/>
    <mergeCell ref="D21:E21"/>
    <mergeCell ref="F21:G21"/>
    <mergeCell ref="J20:K20"/>
    <mergeCell ref="D20:E20"/>
    <mergeCell ref="F20:G20"/>
    <mergeCell ref="H20:I20"/>
    <mergeCell ref="H4:I4"/>
    <mergeCell ref="J4:K4"/>
    <mergeCell ref="A6:A7"/>
    <mergeCell ref="A8:A9"/>
    <mergeCell ref="A4:A5"/>
    <mergeCell ref="B4:C4"/>
    <mergeCell ref="D4:E4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DA631-743D-4544-BEC1-B11A2DD8EA77}">
  <dimension ref="A1:K108"/>
  <sheetViews>
    <sheetView showGridLines="0" view="pageBreakPreview" zoomScaleNormal="100" zoomScaleSheetLayoutView="100" workbookViewId="0"/>
  </sheetViews>
  <sheetFormatPr defaultColWidth="9" defaultRowHeight="11"/>
  <cols>
    <col min="1" max="1" width="24.7265625" style="2" customWidth="1"/>
    <col min="2" max="2" width="15.6328125" style="2" customWidth="1"/>
    <col min="3" max="3" width="8.08984375" style="2" customWidth="1"/>
    <col min="4" max="4" width="15.6328125" style="2" customWidth="1"/>
    <col min="5" max="5" width="8.08984375" style="2" customWidth="1"/>
    <col min="6" max="6" width="15.6328125" style="2" customWidth="1"/>
    <col min="7" max="7" width="8.08984375" style="2" customWidth="1"/>
    <col min="8" max="8" width="15.6328125" style="2" customWidth="1"/>
    <col min="9" max="9" width="8.08984375" style="2" customWidth="1"/>
    <col min="10" max="10" width="15.6328125" style="2" customWidth="1"/>
    <col min="11" max="11" width="8.08984375" style="2" customWidth="1"/>
    <col min="12" max="16384" width="9" style="2"/>
  </cols>
  <sheetData>
    <row r="1" spans="1:11" ht="19">
      <c r="B1" s="1" t="s">
        <v>346</v>
      </c>
    </row>
    <row r="3" spans="1:11" ht="11.5" thickBot="1">
      <c r="K3" s="3" t="s">
        <v>35</v>
      </c>
    </row>
    <row r="4" spans="1:11" ht="12" customHeight="1" thickBot="1">
      <c r="A4" s="267" t="s">
        <v>93</v>
      </c>
      <c r="B4" s="263" t="s">
        <v>272</v>
      </c>
      <c r="C4" s="263"/>
      <c r="D4" s="263" t="s">
        <v>273</v>
      </c>
      <c r="E4" s="264"/>
      <c r="F4" s="263" t="s">
        <v>274</v>
      </c>
      <c r="G4" s="264"/>
      <c r="H4" s="263" t="s">
        <v>275</v>
      </c>
      <c r="I4" s="264"/>
      <c r="J4" s="263" t="s">
        <v>276</v>
      </c>
      <c r="K4" s="264"/>
    </row>
    <row r="5" spans="1:11" ht="25" customHeight="1" thickBot="1">
      <c r="A5" s="268"/>
      <c r="B5" s="4"/>
      <c r="C5" s="5" t="s">
        <v>121</v>
      </c>
      <c r="D5" s="4"/>
      <c r="E5" s="5" t="s">
        <v>121</v>
      </c>
      <c r="F5" s="4"/>
      <c r="G5" s="5" t="s">
        <v>121</v>
      </c>
      <c r="H5" s="4"/>
      <c r="I5" s="5" t="s">
        <v>121</v>
      </c>
      <c r="J5" s="4"/>
      <c r="K5" s="5" t="s">
        <v>121</v>
      </c>
    </row>
    <row r="6" spans="1:11" ht="12" customHeight="1">
      <c r="A6" s="265" t="s">
        <v>122</v>
      </c>
      <c r="B6" s="6"/>
      <c r="C6" s="56"/>
      <c r="D6" s="6"/>
      <c r="E6" s="56"/>
      <c r="F6" s="6"/>
      <c r="G6" s="56"/>
      <c r="H6" s="6"/>
      <c r="I6" s="56"/>
      <c r="J6" s="6"/>
      <c r="K6" s="56"/>
    </row>
    <row r="7" spans="1:11" ht="12" customHeight="1">
      <c r="A7" s="266"/>
      <c r="B7" s="9">
        <v>476753.57</v>
      </c>
      <c r="C7" s="57">
        <f>IF(B7="", "", IF(B7&lt;=0, "*", 100))</f>
        <v>100</v>
      </c>
      <c r="D7" s="9">
        <v>745813.78</v>
      </c>
      <c r="E7" s="57">
        <f>IF(D7="", "", IF(D7&lt;=0, "*", 100))</f>
        <v>100</v>
      </c>
      <c r="F7" s="9">
        <v>632820.38</v>
      </c>
      <c r="G7" s="57">
        <f>IF(F7="", "", IF(F7&lt;=0, "*", 100))</f>
        <v>100</v>
      </c>
      <c r="H7" s="9">
        <v>540729.48</v>
      </c>
      <c r="I7" s="57">
        <f>IF(H7="", "", IF(H7&lt;=0, "*", 100))</f>
        <v>100</v>
      </c>
      <c r="J7" s="9">
        <v>375526.34723999997</v>
      </c>
      <c r="K7" s="57">
        <v>100</v>
      </c>
    </row>
    <row r="8" spans="1:11" ht="12" customHeight="1">
      <c r="A8" s="266" t="s">
        <v>123</v>
      </c>
      <c r="B8" s="9"/>
      <c r="C8" s="57"/>
      <c r="D8" s="9"/>
      <c r="E8" s="57"/>
      <c r="F8" s="9"/>
      <c r="G8" s="57"/>
      <c r="H8" s="9"/>
      <c r="I8" s="57"/>
      <c r="J8" s="29" t="s">
        <v>347</v>
      </c>
      <c r="K8" s="57" t="s">
        <v>298</v>
      </c>
    </row>
    <row r="9" spans="1:11" ht="12" customHeight="1">
      <c r="A9" s="266"/>
      <c r="B9" s="9">
        <v>-319677.76</v>
      </c>
      <c r="C9" s="57">
        <f>IF(B7="","", IF(B7&lt;=0,"*",B9*100/B7))</f>
        <v>-67.053039581853582</v>
      </c>
      <c r="D9" s="9">
        <v>-264843.69</v>
      </c>
      <c r="E9" s="57">
        <f>IF(D7="","", IF(D7&lt;=0,"*",D9*100/D7))</f>
        <v>-35.510699467097538</v>
      </c>
      <c r="F9" s="9">
        <v>-140459.62</v>
      </c>
      <c r="G9" s="57">
        <f>IF(F7="","", IF(F7&lt;=0,"*",F9*100/F7))</f>
        <v>-22.195811708845408</v>
      </c>
      <c r="H9" s="9">
        <v>-33378.28</v>
      </c>
      <c r="I9" s="57">
        <f>IF(H7="","", IF(H7&lt;=0,"*",H9*100/H7))</f>
        <v>-6.1728241633875784</v>
      </c>
      <c r="J9" s="9">
        <v>126047.12761</v>
      </c>
      <c r="K9" s="57">
        <v>33.565455136878299</v>
      </c>
    </row>
    <row r="10" spans="1:11" ht="12" customHeight="1">
      <c r="A10" s="266" t="s">
        <v>124</v>
      </c>
      <c r="B10" s="9"/>
      <c r="C10" s="57"/>
      <c r="D10" s="9"/>
      <c r="E10" s="57"/>
      <c r="F10" s="9"/>
      <c r="G10" s="57"/>
      <c r="H10" s="9"/>
      <c r="I10" s="57"/>
      <c r="J10" s="29" t="s">
        <v>367</v>
      </c>
      <c r="K10" s="57" t="s">
        <v>368</v>
      </c>
    </row>
    <row r="11" spans="1:11" ht="12" customHeight="1">
      <c r="A11" s="266"/>
      <c r="B11" s="9">
        <v>-169473.89</v>
      </c>
      <c r="C11" s="57">
        <f>IF(B7="","", IF(B7&lt;=0,"*",B11*100/B7))</f>
        <v>-35.547482109048495</v>
      </c>
      <c r="D11" s="9">
        <v>-154128.45000000001</v>
      </c>
      <c r="E11" s="57">
        <f>IF(D7="","", IF(D7&lt;=0,"*",D11*100/D7))</f>
        <v>-20.665808829651823</v>
      </c>
      <c r="F11" s="9">
        <v>-110645.72</v>
      </c>
      <c r="G11" s="57">
        <f>IF(F7="","", IF(F7&lt;=0,"*",F11*100/F7))</f>
        <v>-17.484538029574839</v>
      </c>
      <c r="H11" s="9">
        <v>-102543</v>
      </c>
      <c r="I11" s="57">
        <f>IF(H7="","", IF(H7&lt;=0,"*",H11*100/H7))</f>
        <v>-18.963826422040093</v>
      </c>
      <c r="J11" s="9">
        <v>-40737.555090000002</v>
      </c>
      <c r="K11" s="57">
        <v>-10.848121680251776</v>
      </c>
    </row>
    <row r="12" spans="1:11" ht="12" customHeight="1">
      <c r="A12" s="266" t="s">
        <v>125</v>
      </c>
      <c r="B12" s="9"/>
      <c r="C12" s="57"/>
      <c r="D12" s="9"/>
      <c r="E12" s="57"/>
      <c r="F12" s="9"/>
      <c r="G12" s="57"/>
      <c r="H12" s="9"/>
      <c r="I12" s="57"/>
      <c r="J12" s="9"/>
      <c r="K12" s="57"/>
    </row>
    <row r="13" spans="1:11" ht="12" customHeight="1">
      <c r="A13" s="266"/>
      <c r="B13" s="9">
        <v>-15780.55</v>
      </c>
      <c r="C13" s="57">
        <f>IF(B7="","", IF(B7&lt;=0,"*",B13*100/B7))</f>
        <v>-3.3100014332352035</v>
      </c>
      <c r="D13" s="9">
        <v>-10899.15</v>
      </c>
      <c r="E13" s="57">
        <v>-1.4</v>
      </c>
      <c r="F13" s="9">
        <v>-1330.67</v>
      </c>
      <c r="G13" s="57">
        <f>IF(F7="","", IF(F7&lt;=0,"*",F13*100/F7))</f>
        <v>-0.21027609761872712</v>
      </c>
      <c r="H13" s="9">
        <v>729.78</v>
      </c>
      <c r="I13" s="57">
        <f>IF(H7="","", IF(H7&lt;=0,"*",H13*100/H7))</f>
        <v>0.13496212560853904</v>
      </c>
      <c r="J13" s="9">
        <v>6081.71</v>
      </c>
      <c r="K13" s="57">
        <v>1.6195161923254247</v>
      </c>
    </row>
    <row r="14" spans="1:11" ht="12" customHeight="1">
      <c r="A14" s="266" t="s">
        <v>126</v>
      </c>
      <c r="B14" s="9"/>
      <c r="C14" s="57"/>
      <c r="D14" s="9"/>
      <c r="E14" s="57"/>
      <c r="F14" s="9"/>
      <c r="G14" s="57"/>
      <c r="H14" s="9"/>
      <c r="I14" s="57"/>
      <c r="J14" s="9"/>
      <c r="K14" s="57"/>
    </row>
    <row r="15" spans="1:11" ht="12" customHeight="1">
      <c r="A15" s="266"/>
      <c r="B15" s="9">
        <v>-134423.32</v>
      </c>
      <c r="C15" s="57">
        <f>IF(B7="","", IF(B7&lt;=0,"*",B15*100/B7))</f>
        <v>-28.195556039569876</v>
      </c>
      <c r="D15" s="9">
        <v>-99816.09</v>
      </c>
      <c r="E15" s="57">
        <f>IF(D7="","", IF(D7&lt;=0,"*",D15*100/D7))</f>
        <v>-13.383513777393601</v>
      </c>
      <c r="F15" s="9">
        <v>-28483.23</v>
      </c>
      <c r="G15" s="57">
        <f>IF(F7="","", IF(F7&lt;=0,"*",F15*100/F7))</f>
        <v>-4.5009975816518422</v>
      </c>
      <c r="H15" s="9">
        <v>68434.94</v>
      </c>
      <c r="I15" s="57">
        <f>IF(H7="","", IF(H7&lt;=0,"*",H15*100/H7))</f>
        <v>12.656040133043977</v>
      </c>
      <c r="J15" s="9">
        <v>160702.97270000001</v>
      </c>
      <c r="K15" s="57">
        <v>42.794060624804651</v>
      </c>
    </row>
    <row r="16" spans="1:11" ht="12" customHeight="1">
      <c r="A16" s="266" t="s">
        <v>127</v>
      </c>
      <c r="B16" s="9"/>
      <c r="C16" s="57"/>
      <c r="D16" s="9"/>
      <c r="E16" s="57"/>
      <c r="F16" s="9"/>
      <c r="G16" s="57"/>
      <c r="H16" s="9"/>
      <c r="I16" s="57"/>
      <c r="J16" s="9"/>
      <c r="K16" s="57"/>
    </row>
    <row r="17" spans="1:11" ht="12" customHeight="1">
      <c r="A17" s="266"/>
      <c r="B17" s="9">
        <v>-59972.29</v>
      </c>
      <c r="C17" s="57">
        <f>IF(B7="","", IF(B7&lt;=0,"*",B17*100/B7))</f>
        <v>-12.579305908501116</v>
      </c>
      <c r="D17" s="9">
        <v>-57091.96</v>
      </c>
      <c r="E17" s="57">
        <f>IF(D7="","", IF(D7&lt;=0,"*",D17*100/D7))</f>
        <v>-7.6549886219586876</v>
      </c>
      <c r="F17" s="9">
        <v>18213.62</v>
      </c>
      <c r="G17" s="57">
        <f>IF(F7="","", IF(F7&lt;=0,"*",F17*100/F7))</f>
        <v>2.8781658390963956</v>
      </c>
      <c r="H17" s="9">
        <v>382.88</v>
      </c>
      <c r="I17" s="57">
        <f>IF(H7="","", IF(H7&lt;=0,"*",H17*100/H7))</f>
        <v>7.0808049895855499E-2</v>
      </c>
      <c r="J17" s="9">
        <v>89923.182700000005</v>
      </c>
      <c r="K17" s="57">
        <v>23.945905090523471</v>
      </c>
    </row>
    <row r="18" spans="1:11" ht="12" customHeight="1">
      <c r="A18" s="266" t="s">
        <v>128</v>
      </c>
      <c r="B18" s="9"/>
      <c r="C18" s="57"/>
      <c r="D18" s="9"/>
      <c r="E18" s="57"/>
      <c r="F18" s="9"/>
      <c r="G18" s="57"/>
      <c r="H18" s="9"/>
      <c r="I18" s="57"/>
      <c r="J18" s="9"/>
      <c r="K18" s="57"/>
    </row>
    <row r="19" spans="1:11" ht="12" customHeight="1">
      <c r="A19" s="266"/>
      <c r="B19" s="9">
        <v>-74451.03</v>
      </c>
      <c r="C19" s="57">
        <f>IF(B7="","", IF(B7&lt;=0,"*",B19*100/B7))</f>
        <v>-15.616250131068762</v>
      </c>
      <c r="D19" s="9">
        <v>-42724.13</v>
      </c>
      <c r="E19" s="57">
        <f>IF(D7="","", IF(D7&lt;=0,"*",D19*100/D7))</f>
        <v>-5.7285251554349124</v>
      </c>
      <c r="F19" s="9">
        <v>-46696.85</v>
      </c>
      <c r="G19" s="57">
        <f>IF(F7="","", IF(F7&lt;=0,"*",F19*100/F7))</f>
        <v>-7.3791634207482382</v>
      </c>
      <c r="H19" s="9">
        <v>68052.06</v>
      </c>
      <c r="I19" s="57">
        <f>IF(H7="","", IF(H7&lt;=0,"*",H19*100/H7))</f>
        <v>12.585232083148121</v>
      </c>
      <c r="J19" s="9">
        <v>70779.789999999994</v>
      </c>
      <c r="K19" s="57">
        <v>18.850000000000001</v>
      </c>
    </row>
    <row r="20" spans="1:11" ht="12" customHeight="1">
      <c r="A20" s="266" t="s">
        <v>129</v>
      </c>
      <c r="B20" s="9"/>
      <c r="C20" s="57"/>
      <c r="D20" s="9"/>
      <c r="E20" s="57"/>
      <c r="F20" s="9"/>
      <c r="G20" s="57"/>
      <c r="H20" s="9"/>
      <c r="I20" s="57"/>
      <c r="J20" s="9"/>
      <c r="K20" s="57"/>
    </row>
    <row r="21" spans="1:11" ht="12" customHeight="1">
      <c r="A21" s="266"/>
      <c r="B21" s="9">
        <v>796431.33</v>
      </c>
      <c r="C21" s="57">
        <f>IF(B7="","", IF(B7&lt;=0,"*",B21*100/B7))</f>
        <v>167.05303958185357</v>
      </c>
      <c r="D21" s="9">
        <v>1010657.47</v>
      </c>
      <c r="E21" s="57">
        <f>IF(D7="","", IF(D7&lt;=0,"*",D21*100/D7))</f>
        <v>135.51069946709754</v>
      </c>
      <c r="F21" s="9">
        <v>773280</v>
      </c>
      <c r="G21" s="57">
        <f>IF(F7="","", IF(F7&lt;=0,"*",F21*100/F7))</f>
        <v>122.19581170884541</v>
      </c>
      <c r="H21" s="9">
        <v>574107.76</v>
      </c>
      <c r="I21" s="57">
        <f>IF(H7="","", IF(H7&lt;=0,"*",H21*100/H7))</f>
        <v>106.17282416338759</v>
      </c>
      <c r="J21" s="9">
        <v>249479.21963000001</v>
      </c>
      <c r="K21" s="57">
        <v>66.434544863121715</v>
      </c>
    </row>
    <row r="22" spans="1:11" ht="12" customHeight="1">
      <c r="A22" s="266" t="s">
        <v>130</v>
      </c>
      <c r="B22" s="9"/>
      <c r="C22" s="57"/>
      <c r="D22" s="9"/>
      <c r="E22" s="57"/>
      <c r="F22" s="9"/>
      <c r="G22" s="57"/>
      <c r="H22" s="9"/>
      <c r="I22" s="57"/>
      <c r="J22" s="29" t="s">
        <v>348</v>
      </c>
      <c r="K22" s="57" t="s">
        <v>349</v>
      </c>
    </row>
    <row r="23" spans="1:11" ht="12" customHeight="1">
      <c r="A23" s="266"/>
      <c r="B23" s="9">
        <v>360421.25</v>
      </c>
      <c r="C23" s="57">
        <f>IF(B7="","", IF(B7&lt;=0,"*",B23*100/B7))</f>
        <v>75.599066830270402</v>
      </c>
      <c r="D23" s="9">
        <v>581045.52</v>
      </c>
      <c r="E23" s="57">
        <f>IF(D7="","", IF(D7&lt;=0,"*",D23*100/D7))</f>
        <v>77.907587065500451</v>
      </c>
      <c r="F23" s="9">
        <v>334227.15999999997</v>
      </c>
      <c r="G23" s="57">
        <f>IF(F7="","", IF(F7&lt;=0,"*",F23*100/F7))</f>
        <v>52.815486125778683</v>
      </c>
      <c r="H23" s="9">
        <v>129599.31</v>
      </c>
      <c r="I23" s="57">
        <f>IF(H7="","", IF(H7&lt;=0,"*",H23*100/H7))</f>
        <v>23.967494799802669</v>
      </c>
      <c r="J23" s="9">
        <v>-188005.52037000001</v>
      </c>
      <c r="K23" s="57">
        <v>-50.064535218841819</v>
      </c>
    </row>
    <row r="24" spans="1:11" ht="12" customHeight="1">
      <c r="A24" s="266" t="s">
        <v>131</v>
      </c>
      <c r="B24" s="9"/>
      <c r="C24" s="57"/>
      <c r="D24" s="9"/>
      <c r="E24" s="57"/>
      <c r="F24" s="9"/>
      <c r="G24" s="57"/>
      <c r="H24" s="9"/>
      <c r="I24" s="57"/>
      <c r="J24" s="9"/>
      <c r="K24" s="57"/>
    </row>
    <row r="25" spans="1:11" ht="12" customHeight="1" thickBot="1">
      <c r="A25" s="271"/>
      <c r="B25" s="11">
        <v>436010.08</v>
      </c>
      <c r="C25" s="58">
        <f>IF(B7="","", IF(B7&lt;=0,"*",B25*100/B7))</f>
        <v>91.453972751583166</v>
      </c>
      <c r="D25" s="11">
        <v>429611.95</v>
      </c>
      <c r="E25" s="58">
        <f>IF(D7="","", IF(D7&lt;=0,"*",D25*100/D7))</f>
        <v>57.60311240159708</v>
      </c>
      <c r="F25" s="11">
        <v>439052.84</v>
      </c>
      <c r="G25" s="58">
        <f>IF(F7="","", IF(F7&lt;=0,"*",F25*100/F7))</f>
        <v>69.380325583066721</v>
      </c>
      <c r="H25" s="11">
        <v>444508.45</v>
      </c>
      <c r="I25" s="58">
        <f>IF(H7="","", IF(H7&lt;=0,"*",H25*100/H7))</f>
        <v>82.205329363584909</v>
      </c>
      <c r="J25" s="11">
        <v>437484.74</v>
      </c>
      <c r="K25" s="58">
        <v>116.49908008196353</v>
      </c>
    </row>
    <row r="26" spans="1:11" ht="11.9" customHeight="1">
      <c r="A26" s="13"/>
      <c r="B26" s="14"/>
      <c r="C26" s="15"/>
      <c r="D26" s="14"/>
      <c r="E26" s="15"/>
      <c r="F26" s="14"/>
      <c r="G26" s="15"/>
      <c r="H26" s="14"/>
      <c r="I26" s="15"/>
      <c r="J26" s="14"/>
      <c r="K26" s="15"/>
    </row>
    <row r="27" spans="1:11" ht="11.9" customHeight="1">
      <c r="A27" s="13" t="s">
        <v>132</v>
      </c>
      <c r="B27" s="14"/>
      <c r="C27" s="15"/>
      <c r="D27" s="14"/>
      <c r="E27" s="15"/>
      <c r="F27" s="14"/>
      <c r="G27" s="15"/>
      <c r="H27" s="14"/>
      <c r="I27" s="15"/>
      <c r="J27" s="14"/>
      <c r="K27" s="15"/>
    </row>
    <row r="28" spans="1:11" ht="11.9" customHeight="1">
      <c r="A28" s="13" t="s">
        <v>133</v>
      </c>
      <c r="B28" s="14"/>
      <c r="C28" s="15"/>
      <c r="D28" s="14"/>
      <c r="E28" s="15"/>
      <c r="F28" s="14"/>
      <c r="G28" s="15"/>
      <c r="H28" s="14"/>
      <c r="I28" s="15"/>
      <c r="J28" s="14"/>
      <c r="K28" s="15"/>
    </row>
    <row r="29" spans="1:11" ht="11.9" customHeight="1">
      <c r="A29" s="13" t="s">
        <v>134</v>
      </c>
      <c r="B29" s="14"/>
      <c r="C29" s="15"/>
      <c r="D29" s="14"/>
      <c r="E29" s="15"/>
      <c r="F29" s="14"/>
      <c r="G29" s="15"/>
      <c r="H29" s="14"/>
      <c r="I29" s="15"/>
      <c r="J29" s="14"/>
      <c r="K29" s="15"/>
    </row>
    <row r="30" spans="1:11" ht="11.9" customHeight="1">
      <c r="A30" s="13" t="s">
        <v>135</v>
      </c>
      <c r="B30" s="14"/>
      <c r="C30" s="15"/>
      <c r="D30" s="14"/>
      <c r="E30" s="15"/>
      <c r="F30" s="14"/>
      <c r="G30" s="15"/>
      <c r="H30" s="14"/>
      <c r="I30" s="15"/>
      <c r="J30" s="14"/>
      <c r="K30" s="15"/>
    </row>
    <row r="31" spans="1:11" ht="11.9" customHeight="1">
      <c r="A31" s="13" t="s">
        <v>136</v>
      </c>
      <c r="B31" s="14"/>
      <c r="C31" s="15"/>
      <c r="D31" s="14"/>
      <c r="E31" s="15"/>
      <c r="F31" s="14"/>
      <c r="G31" s="15"/>
      <c r="H31" s="14"/>
      <c r="I31" s="15"/>
      <c r="J31" s="14"/>
      <c r="K31" s="15"/>
    </row>
    <row r="32" spans="1:11" ht="11.9" customHeight="1">
      <c r="A32" s="13" t="s">
        <v>137</v>
      </c>
      <c r="B32" s="14"/>
      <c r="C32" s="15"/>
      <c r="D32" s="14"/>
      <c r="E32" s="15"/>
      <c r="F32" s="14"/>
      <c r="G32" s="15"/>
      <c r="H32" s="14"/>
      <c r="I32" s="15"/>
      <c r="J32" s="14"/>
      <c r="K32" s="15"/>
    </row>
    <row r="33" spans="1:11" ht="11.9" customHeight="1">
      <c r="A33" s="13" t="s">
        <v>138</v>
      </c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11" ht="11.9" customHeight="1">
      <c r="A34" s="13" t="s">
        <v>320</v>
      </c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11" ht="11.9" customHeight="1">
      <c r="A35" s="13" t="s">
        <v>321</v>
      </c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11" ht="11.9" customHeight="1">
      <c r="A36" s="13"/>
      <c r="B36" s="14"/>
      <c r="C36" s="15"/>
      <c r="D36" s="14"/>
      <c r="E36" s="15"/>
      <c r="F36" s="14"/>
      <c r="G36" s="15"/>
      <c r="H36" s="14"/>
      <c r="I36" s="15"/>
      <c r="J36" s="14"/>
      <c r="K36" s="15"/>
    </row>
    <row r="37" spans="1:11" ht="11.9" customHeight="1">
      <c r="A37" s="13"/>
      <c r="B37" s="14"/>
      <c r="C37" s="15"/>
      <c r="D37" s="14"/>
      <c r="E37" s="15"/>
      <c r="F37" s="14"/>
      <c r="G37" s="15"/>
      <c r="H37" s="14"/>
      <c r="I37" s="15"/>
      <c r="J37" s="14"/>
      <c r="K37" s="15"/>
    </row>
    <row r="38" spans="1:11" ht="11.9" customHeight="1">
      <c r="A38" s="13"/>
      <c r="B38" s="14"/>
      <c r="C38" s="15"/>
      <c r="D38" s="14"/>
      <c r="E38" s="15"/>
      <c r="F38" s="14"/>
      <c r="G38" s="15"/>
      <c r="H38" s="14"/>
      <c r="I38" s="15"/>
      <c r="J38" s="14"/>
      <c r="K38" s="15"/>
    </row>
    <row r="39" spans="1:11" ht="11.9" customHeight="1">
      <c r="A39" s="13"/>
      <c r="B39" s="14"/>
      <c r="C39" s="15"/>
      <c r="D39" s="14"/>
      <c r="E39" s="15"/>
      <c r="F39" s="14"/>
      <c r="G39" s="15"/>
      <c r="H39" s="14"/>
      <c r="I39" s="15"/>
      <c r="J39" s="14"/>
      <c r="K39" s="15"/>
    </row>
    <row r="40" spans="1:11" ht="11.9" customHeight="1">
      <c r="A40" s="13"/>
      <c r="B40" s="14"/>
      <c r="C40" s="15"/>
      <c r="D40" s="14"/>
      <c r="E40" s="15"/>
      <c r="F40" s="14"/>
      <c r="G40" s="15"/>
      <c r="H40" s="14"/>
      <c r="I40" s="15"/>
      <c r="J40" s="14"/>
      <c r="K40" s="15"/>
    </row>
    <row r="41" spans="1:11" ht="11.9" customHeight="1">
      <c r="A41" s="13"/>
      <c r="B41" s="14"/>
      <c r="C41" s="15"/>
      <c r="D41" s="14"/>
      <c r="E41" s="15"/>
      <c r="F41" s="14"/>
      <c r="G41" s="15"/>
      <c r="H41" s="14"/>
      <c r="I41" s="15"/>
      <c r="J41" s="14"/>
      <c r="K41" s="15"/>
    </row>
    <row r="42" spans="1:11" ht="11.9" customHeight="1">
      <c r="A42" s="13"/>
      <c r="B42" s="14"/>
      <c r="C42" s="15"/>
      <c r="D42" s="14"/>
      <c r="E42" s="15"/>
      <c r="F42" s="14"/>
      <c r="G42" s="15"/>
      <c r="H42" s="14"/>
      <c r="I42" s="15"/>
      <c r="J42" s="14"/>
      <c r="K42" s="15"/>
    </row>
    <row r="43" spans="1:11" ht="11.9" customHeight="1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</row>
    <row r="44" spans="1:11" ht="11.9" customHeight="1">
      <c r="A44" s="13"/>
      <c r="B44" s="14"/>
      <c r="C44" s="15"/>
      <c r="D44" s="14"/>
      <c r="E44" s="15"/>
      <c r="F44" s="14"/>
      <c r="G44" s="15"/>
      <c r="H44" s="14"/>
      <c r="I44" s="15"/>
      <c r="J44" s="14"/>
      <c r="K44" s="15"/>
    </row>
    <row r="45" spans="1:11" ht="11.9" customHeight="1">
      <c r="A45" s="13"/>
      <c r="B45" s="14"/>
      <c r="C45" s="15"/>
      <c r="D45" s="14"/>
      <c r="E45" s="15"/>
      <c r="F45" s="14"/>
      <c r="G45" s="15"/>
      <c r="H45" s="14"/>
      <c r="I45" s="15"/>
      <c r="J45" s="14"/>
      <c r="K45" s="15"/>
    </row>
    <row r="46" spans="1:11" ht="11.9" customHeight="1">
      <c r="A46" s="13"/>
      <c r="B46" s="14"/>
      <c r="C46" s="15"/>
      <c r="D46" s="14"/>
      <c r="E46" s="15"/>
      <c r="F46" s="14"/>
      <c r="G46" s="15"/>
      <c r="H46" s="14"/>
      <c r="I46" s="15"/>
      <c r="J46" s="14"/>
      <c r="K46" s="15"/>
    </row>
    <row r="47" spans="1:11" ht="11.9" customHeight="1">
      <c r="A47" s="13"/>
      <c r="B47" s="14"/>
      <c r="C47" s="15"/>
      <c r="D47" s="14"/>
      <c r="E47" s="15"/>
      <c r="F47" s="14"/>
      <c r="G47" s="15"/>
      <c r="H47" s="14"/>
      <c r="I47" s="15"/>
      <c r="J47" s="14"/>
      <c r="K47" s="15"/>
    </row>
    <row r="48" spans="1:11" ht="11.9" customHeight="1">
      <c r="A48" s="13"/>
      <c r="B48" s="14"/>
      <c r="C48" s="15"/>
      <c r="D48" s="14"/>
      <c r="E48" s="15"/>
      <c r="F48" s="14"/>
      <c r="G48" s="15"/>
      <c r="H48" s="14"/>
      <c r="I48" s="15"/>
      <c r="J48" s="14"/>
      <c r="K48" s="15"/>
    </row>
    <row r="49" spans="1:11" ht="11.9" customHeight="1">
      <c r="A49" s="13"/>
      <c r="B49" s="14"/>
      <c r="C49" s="15"/>
      <c r="D49" s="14"/>
      <c r="E49" s="15"/>
      <c r="F49" s="14"/>
      <c r="G49" s="15"/>
      <c r="H49" s="14"/>
      <c r="I49" s="15"/>
      <c r="J49" s="14"/>
      <c r="K49" s="15"/>
    </row>
    <row r="50" spans="1:11" ht="11.9" customHeight="1"/>
    <row r="51" spans="1:11" ht="11.9" customHeight="1"/>
    <row r="52" spans="1:11" ht="11.9" customHeight="1"/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89" spans="1:10" s="15" customFormat="1"/>
    <row r="90" spans="1:10" s="15" customFormat="1"/>
    <row r="91" spans="1:10" s="15" customFormat="1"/>
    <row r="92" spans="1:10" s="15" customFormat="1">
      <c r="A92" s="13"/>
      <c r="B92" s="14"/>
      <c r="D92" s="14"/>
      <c r="F92" s="14"/>
      <c r="H92" s="14"/>
      <c r="J92" s="14"/>
    </row>
    <row r="93" spans="1:10" s="15" customFormat="1">
      <c r="A93" s="13"/>
      <c r="B93" s="14"/>
      <c r="D93" s="14"/>
      <c r="F93" s="14"/>
      <c r="H93" s="14"/>
      <c r="J93" s="14"/>
    </row>
    <row r="94" spans="1:10" s="15" customFormat="1">
      <c r="B94" s="14"/>
      <c r="D94" s="14"/>
      <c r="F94" s="14"/>
      <c r="H94" s="14"/>
      <c r="J94" s="14"/>
    </row>
    <row r="95" spans="1:10">
      <c r="A95" s="15"/>
      <c r="B95" s="14"/>
      <c r="D95" s="14"/>
      <c r="F95" s="14"/>
      <c r="H95" s="14"/>
      <c r="J95" s="14"/>
    </row>
    <row r="96" spans="1:10">
      <c r="A96" s="15"/>
      <c r="B96" s="14"/>
      <c r="D96" s="14"/>
      <c r="F96" s="14"/>
      <c r="H96" s="14"/>
      <c r="J96" s="14"/>
    </row>
    <row r="97" spans="1:10">
      <c r="A97" s="15"/>
      <c r="B97" s="14"/>
      <c r="D97" s="14"/>
      <c r="F97" s="14"/>
      <c r="H97" s="14"/>
      <c r="J97" s="14"/>
    </row>
    <row r="98" spans="1:10">
      <c r="A98" s="15"/>
      <c r="B98" s="14"/>
      <c r="D98" s="14"/>
      <c r="F98" s="14"/>
      <c r="H98" s="14"/>
      <c r="J98" s="14"/>
    </row>
    <row r="99" spans="1:10">
      <c r="A99" s="15"/>
      <c r="B99" s="14"/>
      <c r="D99" s="14"/>
      <c r="F99" s="14"/>
      <c r="H99" s="14"/>
      <c r="J99" s="14"/>
    </row>
    <row r="100" spans="1:10">
      <c r="A100" s="13"/>
      <c r="B100" s="14"/>
      <c r="D100" s="14"/>
      <c r="F100" s="14"/>
      <c r="H100" s="14"/>
      <c r="J100" s="14"/>
    </row>
    <row r="101" spans="1:10">
      <c r="A101" s="13"/>
      <c r="B101" s="14"/>
      <c r="D101" s="14"/>
      <c r="F101" s="14"/>
      <c r="H101" s="14"/>
      <c r="J101" s="14"/>
    </row>
    <row r="102" spans="1:10">
      <c r="A102" s="13"/>
      <c r="B102" s="14"/>
      <c r="D102" s="14"/>
      <c r="F102" s="14"/>
      <c r="H102" s="14"/>
      <c r="J102" s="14"/>
    </row>
    <row r="103" spans="1:10">
      <c r="A103" s="13"/>
      <c r="B103" s="14"/>
      <c r="D103" s="14"/>
      <c r="F103" s="14"/>
      <c r="H103" s="14"/>
      <c r="J103" s="14"/>
    </row>
    <row r="104" spans="1:10">
      <c r="A104" s="13"/>
      <c r="B104" s="14"/>
      <c r="D104" s="14"/>
      <c r="F104" s="14"/>
      <c r="H104" s="14"/>
      <c r="J104" s="14"/>
    </row>
    <row r="105" spans="1:10">
      <c r="A105" s="13"/>
      <c r="B105" s="14"/>
      <c r="D105" s="14"/>
      <c r="F105" s="14"/>
      <c r="H105" s="14"/>
      <c r="J105" s="14"/>
    </row>
    <row r="106" spans="1:10">
      <c r="A106" s="13"/>
      <c r="B106" s="14"/>
      <c r="D106" s="14"/>
      <c r="F106" s="14"/>
      <c r="H106" s="14"/>
      <c r="J106" s="14"/>
    </row>
    <row r="107" spans="1:10">
      <c r="A107" s="15"/>
      <c r="B107" s="14"/>
      <c r="D107" s="14"/>
      <c r="F107" s="14"/>
      <c r="H107" s="14"/>
      <c r="J107" s="14"/>
    </row>
    <row r="108" spans="1:10">
      <c r="A108" s="15"/>
      <c r="B108" s="14"/>
      <c r="D108" s="14"/>
      <c r="F108" s="14"/>
      <c r="H108" s="14"/>
      <c r="J108" s="14"/>
    </row>
  </sheetData>
  <mergeCells count="16">
    <mergeCell ref="A22:A23"/>
    <mergeCell ref="A24:A25"/>
    <mergeCell ref="A10:A11"/>
    <mergeCell ref="A12:A13"/>
    <mergeCell ref="A14:A15"/>
    <mergeCell ref="A16:A17"/>
    <mergeCell ref="A18:A19"/>
    <mergeCell ref="A20:A21"/>
    <mergeCell ref="H4:I4"/>
    <mergeCell ref="J4:K4"/>
    <mergeCell ref="A6:A7"/>
    <mergeCell ref="A8:A9"/>
    <mergeCell ref="A4:A5"/>
    <mergeCell ref="B4:C4"/>
    <mergeCell ref="D4:E4"/>
    <mergeCell ref="F4:G4"/>
  </mergeCells>
  <phoneticPr fontId="1"/>
  <pageMargins left="0.75" right="0.75" top="1" bottom="1" header="0.51200000000000001" footer="0.51200000000000001"/>
  <pageSetup paperSize="9" scale="65" orientation="landscape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3BD7-FC8F-43AE-BF51-EDCFF048C5CF}">
  <dimension ref="A1:F80"/>
  <sheetViews>
    <sheetView showGridLines="0" view="pageBreakPreview" zoomScaleNormal="100" workbookViewId="0"/>
  </sheetViews>
  <sheetFormatPr defaultColWidth="9" defaultRowHeight="11"/>
  <cols>
    <col min="1" max="1" width="26.08984375" style="2" customWidth="1"/>
    <col min="2" max="6" width="17.26953125" style="2" customWidth="1"/>
    <col min="7" max="16384" width="9" style="2"/>
  </cols>
  <sheetData>
    <row r="1" spans="1:6" ht="19">
      <c r="B1" s="1" t="s">
        <v>139</v>
      </c>
    </row>
    <row r="3" spans="1:6" ht="11.5" thickBot="1">
      <c r="F3" s="3" t="s">
        <v>140</v>
      </c>
    </row>
    <row r="4" spans="1:6" ht="12" customHeight="1">
      <c r="A4" s="274" t="s">
        <v>141</v>
      </c>
      <c r="B4" s="48" t="s">
        <v>272</v>
      </c>
      <c r="C4" s="48" t="s">
        <v>273</v>
      </c>
      <c r="D4" s="48" t="s">
        <v>274</v>
      </c>
      <c r="E4" s="48" t="s">
        <v>275</v>
      </c>
      <c r="F4" s="48" t="s">
        <v>276</v>
      </c>
    </row>
    <row r="5" spans="1:6" ht="12" customHeight="1" thickBot="1">
      <c r="A5" s="296"/>
      <c r="B5" s="59"/>
      <c r="C5" s="59"/>
      <c r="D5" s="59"/>
      <c r="E5" s="59"/>
      <c r="F5" s="59"/>
    </row>
    <row r="6" spans="1:6" ht="12" customHeight="1">
      <c r="A6" s="265" t="s">
        <v>142</v>
      </c>
      <c r="B6" s="60"/>
      <c r="C6" s="60"/>
      <c r="D6" s="60"/>
      <c r="E6" s="60"/>
      <c r="F6" s="60"/>
    </row>
    <row r="7" spans="1:6" ht="12" customHeight="1">
      <c r="A7" s="266"/>
      <c r="B7" s="61">
        <v>29.844179</v>
      </c>
      <c r="C7" s="61">
        <v>30.053412000000002</v>
      </c>
      <c r="D7" s="61">
        <v>32.758777000000002</v>
      </c>
      <c r="E7" s="61">
        <v>33.529057999999999</v>
      </c>
      <c r="F7" s="61">
        <v>33.922356000000001</v>
      </c>
    </row>
    <row r="8" spans="1:6" ht="12" customHeight="1">
      <c r="A8" s="266" t="s">
        <v>143</v>
      </c>
      <c r="B8" s="62"/>
      <c r="C8" s="62"/>
      <c r="D8" s="62"/>
      <c r="E8" s="62"/>
      <c r="F8" s="62" t="s">
        <v>350</v>
      </c>
    </row>
    <row r="9" spans="1:6" ht="12" customHeight="1">
      <c r="A9" s="266"/>
      <c r="B9" s="61">
        <v>42.344006</v>
      </c>
      <c r="C9" s="61">
        <v>42.704486000000003</v>
      </c>
      <c r="D9" s="61">
        <v>43.817321</v>
      </c>
      <c r="E9" s="61">
        <v>43.806963000000003</v>
      </c>
      <c r="F9" s="61">
        <v>42.313063</v>
      </c>
    </row>
    <row r="10" spans="1:6" ht="12" customHeight="1">
      <c r="A10" s="64"/>
      <c r="B10" s="62"/>
      <c r="C10" s="62"/>
      <c r="D10" s="62"/>
      <c r="E10" s="62"/>
      <c r="F10" s="62"/>
    </row>
    <row r="11" spans="1:6" ht="12" customHeight="1">
      <c r="A11" s="64" t="s">
        <v>351</v>
      </c>
      <c r="B11" s="61">
        <v>24.178650999999999</v>
      </c>
      <c r="C11" s="61">
        <v>24.304015</v>
      </c>
      <c r="D11" s="61">
        <v>27.682269000000002</v>
      </c>
      <c r="E11" s="61">
        <v>28.478815000000001</v>
      </c>
      <c r="F11" s="61">
        <v>30.398349</v>
      </c>
    </row>
    <row r="12" spans="1:6" ht="12" customHeight="1" thickBot="1">
      <c r="A12" s="67"/>
      <c r="B12" s="63"/>
      <c r="C12" s="63"/>
      <c r="D12" s="63"/>
      <c r="E12" s="63"/>
      <c r="F12" s="63" t="s">
        <v>352</v>
      </c>
    </row>
    <row r="13" spans="1:6" ht="12" customHeight="1">
      <c r="A13" s="266" t="s">
        <v>144</v>
      </c>
      <c r="B13" s="62"/>
      <c r="C13" s="62"/>
      <c r="D13" s="62"/>
      <c r="E13" s="62"/>
      <c r="F13" s="62"/>
    </row>
    <row r="14" spans="1:6" ht="12" customHeight="1">
      <c r="A14" s="266"/>
      <c r="B14" s="62"/>
      <c r="C14" s="62"/>
      <c r="D14" s="62"/>
      <c r="E14" s="62"/>
      <c r="F14" s="62"/>
    </row>
    <row r="15" spans="1:6" ht="12" customHeight="1">
      <c r="A15" s="266" t="s">
        <v>145</v>
      </c>
      <c r="B15" s="62"/>
      <c r="C15" s="62"/>
      <c r="D15" s="62"/>
      <c r="E15" s="62"/>
      <c r="F15" s="62"/>
    </row>
    <row r="16" spans="1:6" ht="12" customHeight="1">
      <c r="A16" s="266"/>
      <c r="B16" s="61">
        <v>37.376471000000002</v>
      </c>
      <c r="C16" s="61">
        <v>39.142707999999999</v>
      </c>
      <c r="D16" s="61">
        <v>39.350585000000002</v>
      </c>
      <c r="E16" s="61">
        <v>39.346755999999999</v>
      </c>
      <c r="F16" s="61">
        <v>40.826565000000002</v>
      </c>
    </row>
    <row r="17" spans="1:6" ht="12" customHeight="1">
      <c r="A17" s="266" t="s">
        <v>146</v>
      </c>
      <c r="B17" s="62"/>
      <c r="C17" s="62"/>
      <c r="D17" s="62"/>
      <c r="E17" s="62"/>
      <c r="F17" s="62"/>
    </row>
    <row r="18" spans="1:6" ht="12" customHeight="1">
      <c r="A18" s="266"/>
      <c r="B18" s="61">
        <v>27.786017999999999</v>
      </c>
      <c r="C18" s="61">
        <v>25.963553000000001</v>
      </c>
      <c r="D18" s="61">
        <v>28.967372999999998</v>
      </c>
      <c r="E18" s="61">
        <v>31.537877000000002</v>
      </c>
      <c r="F18" s="61">
        <v>32.90775</v>
      </c>
    </row>
    <row r="19" spans="1:6" ht="12" customHeight="1">
      <c r="A19" s="266" t="s">
        <v>147</v>
      </c>
      <c r="B19" s="62"/>
      <c r="C19" s="62"/>
      <c r="D19" s="62"/>
      <c r="E19" s="62"/>
      <c r="F19" s="62"/>
    </row>
    <row r="20" spans="1:6" ht="12" customHeight="1">
      <c r="A20" s="266"/>
      <c r="B20" s="61">
        <v>23.405417</v>
      </c>
      <c r="C20" s="61">
        <v>22.599941000000001</v>
      </c>
      <c r="D20" s="61">
        <v>28.967642000000001</v>
      </c>
      <c r="E20" s="61">
        <v>29.627268999999998</v>
      </c>
      <c r="F20" s="61">
        <v>29.638065000000001</v>
      </c>
    </row>
    <row r="21" spans="1:6" ht="12" customHeight="1">
      <c r="A21" s="266" t="s">
        <v>148</v>
      </c>
      <c r="B21" s="62"/>
      <c r="C21" s="62"/>
      <c r="D21" s="62"/>
      <c r="E21" s="62"/>
      <c r="F21" s="62"/>
    </row>
    <row r="22" spans="1:6" ht="12" customHeight="1" thickBot="1">
      <c r="A22" s="271"/>
      <c r="B22" s="63">
        <v>11.518001</v>
      </c>
      <c r="C22" s="63">
        <v>10.077757999999999</v>
      </c>
      <c r="D22" s="63">
        <v>9.8751060000000006</v>
      </c>
      <c r="E22" s="63">
        <v>11.519983</v>
      </c>
      <c r="F22" s="63">
        <v>11.447912000000001</v>
      </c>
    </row>
    <row r="23" spans="1:6" ht="7.5" customHeight="1"/>
    <row r="24" spans="1:6" ht="11.9" customHeight="1">
      <c r="A24" s="286" t="s">
        <v>149</v>
      </c>
      <c r="B24" s="287" t="s">
        <v>150</v>
      </c>
      <c r="C24" s="287"/>
      <c r="D24" s="286" t="s">
        <v>151</v>
      </c>
    </row>
    <row r="25" spans="1:6" ht="11.9" customHeight="1">
      <c r="A25" s="286"/>
      <c r="B25" s="297" t="s">
        <v>152</v>
      </c>
      <c r="C25" s="297"/>
      <c r="D25" s="286"/>
    </row>
    <row r="26" spans="1:6" s="51" customFormat="1" ht="11.9" customHeight="1">
      <c r="A26" s="51" t="s">
        <v>370</v>
      </c>
    </row>
    <row r="27" spans="1:6" ht="11.9" customHeight="1">
      <c r="A27" s="13" t="s">
        <v>372</v>
      </c>
    </row>
    <row r="28" spans="1:6" ht="11.9" customHeight="1"/>
    <row r="29" spans="1:6" ht="11.9" customHeight="1"/>
    <row r="30" spans="1:6" ht="11.9" customHeight="1"/>
    <row r="31" spans="1:6" ht="11.9" customHeight="1"/>
    <row r="32" spans="1:6" ht="11.9" customHeight="1"/>
    <row r="33" ht="11.9" customHeight="1"/>
    <row r="34" ht="11.9" customHeight="1"/>
    <row r="35" ht="11.9" customHeight="1"/>
    <row r="36" ht="11.9" customHeight="1"/>
    <row r="37" ht="11.9" customHeight="1"/>
    <row r="38" ht="11.9" customHeight="1"/>
    <row r="39" ht="11.9" customHeight="1"/>
    <row r="40" ht="11.9" customHeight="1"/>
    <row r="41" ht="11.9" customHeight="1"/>
    <row r="42" ht="11.9" customHeight="1"/>
    <row r="43" ht="11.9" customHeight="1"/>
    <row r="44" ht="11.9" customHeight="1"/>
    <row r="45" ht="11.9" customHeight="1"/>
    <row r="46" ht="11.9" customHeight="1"/>
    <row r="47" ht="11.9" customHeight="1"/>
    <row r="48" ht="11.9" customHeight="1"/>
    <row r="49" spans="1:6" ht="11.9" customHeight="1"/>
    <row r="62" spans="1:6" s="15" customFormat="1"/>
    <row r="63" spans="1:6" s="15" customFormat="1"/>
    <row r="64" spans="1:6" s="15" customFormat="1">
      <c r="A64" s="13"/>
      <c r="B64" s="14"/>
      <c r="C64" s="14"/>
      <c r="D64" s="14"/>
      <c r="E64" s="14"/>
      <c r="F64" s="14"/>
    </row>
    <row r="65" spans="1:6" s="15" customFormat="1">
      <c r="A65" s="13"/>
      <c r="B65" s="14"/>
      <c r="C65" s="14"/>
      <c r="D65" s="14"/>
      <c r="E65" s="14"/>
      <c r="F65" s="14"/>
    </row>
    <row r="66" spans="1:6">
      <c r="A66" s="15"/>
      <c r="B66" s="14"/>
      <c r="C66" s="14"/>
      <c r="D66" s="14"/>
      <c r="E66" s="14"/>
      <c r="F66" s="14"/>
    </row>
    <row r="67" spans="1:6">
      <c r="A67" s="15"/>
      <c r="B67" s="14"/>
      <c r="C67" s="14"/>
      <c r="D67" s="14"/>
      <c r="E67" s="14"/>
      <c r="F67" s="14"/>
    </row>
    <row r="68" spans="1:6">
      <c r="A68" s="15"/>
      <c r="B68" s="14"/>
      <c r="C68" s="14"/>
      <c r="D68" s="14"/>
      <c r="E68" s="14"/>
      <c r="F68" s="14"/>
    </row>
    <row r="69" spans="1:6">
      <c r="A69" s="15"/>
      <c r="B69" s="14"/>
      <c r="C69" s="14"/>
      <c r="D69" s="14"/>
      <c r="E69" s="14"/>
      <c r="F69" s="14"/>
    </row>
    <row r="70" spans="1:6">
      <c r="A70" s="15"/>
      <c r="B70" s="14"/>
      <c r="C70" s="14"/>
      <c r="D70" s="14"/>
      <c r="E70" s="14"/>
      <c r="F70" s="14"/>
    </row>
    <row r="71" spans="1:6">
      <c r="A71" s="15"/>
      <c r="B71" s="14"/>
      <c r="C71" s="14"/>
      <c r="D71" s="14"/>
      <c r="E71" s="14"/>
      <c r="F71" s="14"/>
    </row>
    <row r="72" spans="1:6">
      <c r="A72" s="13"/>
      <c r="B72" s="14"/>
      <c r="C72" s="14"/>
      <c r="D72" s="14"/>
      <c r="E72" s="14"/>
      <c r="F72" s="14"/>
    </row>
    <row r="73" spans="1:6">
      <c r="A73" s="13"/>
      <c r="B73" s="14"/>
      <c r="C73" s="14"/>
      <c r="D73" s="14"/>
      <c r="E73" s="14"/>
      <c r="F73" s="14"/>
    </row>
    <row r="74" spans="1:6">
      <c r="A74" s="13"/>
      <c r="B74" s="14"/>
      <c r="C74" s="14"/>
      <c r="D74" s="14"/>
      <c r="E74" s="14"/>
      <c r="F74" s="14"/>
    </row>
    <row r="75" spans="1:6">
      <c r="A75" s="13"/>
      <c r="B75" s="14"/>
      <c r="C75" s="14"/>
      <c r="D75" s="14"/>
      <c r="E75" s="14"/>
      <c r="F75" s="14"/>
    </row>
    <row r="76" spans="1:6">
      <c r="A76" s="13"/>
      <c r="B76" s="14"/>
      <c r="C76" s="14"/>
      <c r="D76" s="14"/>
      <c r="E76" s="14"/>
      <c r="F76" s="14"/>
    </row>
    <row r="77" spans="1:6">
      <c r="A77" s="13"/>
      <c r="B77" s="14"/>
      <c r="C77" s="14"/>
      <c r="D77" s="14"/>
      <c r="E77" s="14"/>
      <c r="F77" s="14"/>
    </row>
    <row r="78" spans="1:6">
      <c r="A78" s="13"/>
      <c r="B78" s="14"/>
      <c r="C78" s="14"/>
      <c r="D78" s="14"/>
      <c r="E78" s="14"/>
      <c r="F78" s="14"/>
    </row>
    <row r="79" spans="1:6">
      <c r="A79" s="15"/>
      <c r="B79" s="14"/>
      <c r="C79" s="14"/>
      <c r="D79" s="14"/>
      <c r="E79" s="14"/>
      <c r="F79" s="14"/>
    </row>
    <row r="80" spans="1:6">
      <c r="A80" s="15"/>
      <c r="B80" s="14"/>
      <c r="C80" s="14"/>
      <c r="D80" s="14"/>
      <c r="E80" s="14"/>
      <c r="F80" s="14"/>
    </row>
  </sheetData>
  <mergeCells count="12">
    <mergeCell ref="A19:A20"/>
    <mergeCell ref="A21:A22"/>
    <mergeCell ref="A24:A25"/>
    <mergeCell ref="B24:C24"/>
    <mergeCell ref="D24:D25"/>
    <mergeCell ref="B25:C25"/>
    <mergeCell ref="A4:A5"/>
    <mergeCell ref="A6:A7"/>
    <mergeCell ref="A8:A9"/>
    <mergeCell ref="A13:A14"/>
    <mergeCell ref="A15:A16"/>
    <mergeCell ref="A17:A18"/>
  </mergeCells>
  <phoneticPr fontId="1"/>
  <pageMargins left="0.75" right="0.75" top="1" bottom="1" header="0.51200000000000001" footer="0.51200000000000001"/>
  <pageSetup paperSize="9" scale="80" orientation="landscape" horizontalDpi="300" verticalDpi="3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C284E-08ED-44E5-AC87-8C8201EED3F3}">
  <dimension ref="A1:AF51"/>
  <sheetViews>
    <sheetView view="pageBreakPreview" zoomScaleNormal="130" zoomScaleSheetLayoutView="190" workbookViewId="0">
      <selection sqref="A1:AD1"/>
    </sheetView>
  </sheetViews>
  <sheetFormatPr defaultColWidth="8" defaultRowHeight="12"/>
  <cols>
    <col min="1" max="7" width="0.6328125" style="96" customWidth="1"/>
    <col min="8" max="8" width="1.6328125" style="96" customWidth="1"/>
    <col min="9" max="12" width="0.90625" style="96" customWidth="1"/>
    <col min="13" max="13" width="22.36328125" style="96" customWidth="1"/>
    <col min="14" max="14" width="0.6328125" style="96" customWidth="1"/>
    <col min="15" max="15" width="8.90625" style="142" hidden="1" customWidth="1"/>
    <col min="16" max="16" width="6.453125" style="143" hidden="1" customWidth="1"/>
    <col min="17" max="17" width="8.90625" style="142" hidden="1" customWidth="1"/>
    <col min="18" max="18" width="6.453125" style="143" hidden="1" customWidth="1"/>
    <col min="19" max="19" width="8.90625" style="142" hidden="1" customWidth="1"/>
    <col min="20" max="20" width="6.453125" style="143" hidden="1" customWidth="1"/>
    <col min="21" max="21" width="8.90625" style="142" hidden="1" customWidth="1"/>
    <col min="22" max="22" width="6.453125" style="143" hidden="1" customWidth="1"/>
    <col min="23" max="23" width="8.90625" style="142" customWidth="1"/>
    <col min="24" max="24" width="6.453125" style="143" customWidth="1"/>
    <col min="25" max="25" width="8.36328125" style="96" customWidth="1"/>
    <col min="26" max="26" width="6.453125" style="96" customWidth="1"/>
    <col min="27" max="27" width="6.6328125" style="96" customWidth="1"/>
    <col min="28" max="29" width="6.453125" style="96" customWidth="1"/>
    <col min="30" max="30" width="6.6328125" style="96" customWidth="1"/>
    <col min="31" max="31" width="1.7265625" style="96" customWidth="1"/>
    <col min="32" max="32" width="3.90625" style="96" customWidth="1"/>
    <col min="33" max="73" width="9" style="96" customWidth="1"/>
    <col min="74" max="16384" width="8" style="96"/>
  </cols>
  <sheetData>
    <row r="1" spans="1:32" ht="24.75" customHeight="1">
      <c r="A1" s="301" t="s">
        <v>402</v>
      </c>
      <c r="B1" s="301"/>
      <c r="C1" s="301"/>
      <c r="D1" s="301"/>
      <c r="E1" s="301"/>
      <c r="F1" s="301"/>
      <c r="G1" s="301"/>
      <c r="H1" s="301"/>
      <c r="I1" s="301"/>
      <c r="J1" s="301"/>
      <c r="K1" s="301"/>
      <c r="L1" s="301"/>
      <c r="M1" s="301"/>
      <c r="N1" s="301"/>
      <c r="O1" s="301"/>
      <c r="P1" s="301"/>
      <c r="Q1" s="301"/>
      <c r="R1" s="301"/>
      <c r="S1" s="301"/>
      <c r="T1" s="301"/>
      <c r="U1" s="301"/>
      <c r="V1" s="301"/>
      <c r="W1" s="301"/>
      <c r="X1" s="301"/>
      <c r="Y1" s="301"/>
      <c r="Z1" s="301"/>
      <c r="AA1" s="301"/>
      <c r="AB1" s="301"/>
      <c r="AC1" s="301"/>
      <c r="AD1" s="301"/>
    </row>
    <row r="2" spans="1:32" ht="12.75" customHeight="1" thickBot="1">
      <c r="A2" s="97"/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8"/>
      <c r="P2" s="99"/>
      <c r="Q2" s="98"/>
      <c r="R2" s="99"/>
      <c r="S2" s="98"/>
      <c r="T2" s="99"/>
      <c r="U2" s="98"/>
      <c r="V2" s="99"/>
      <c r="W2" s="98"/>
      <c r="X2" s="100" t="s">
        <v>373</v>
      </c>
      <c r="Y2" s="97"/>
      <c r="Z2" s="97"/>
      <c r="AA2" s="97"/>
      <c r="AB2" s="101"/>
      <c r="AC2" s="101"/>
      <c r="AD2" s="97"/>
    </row>
    <row r="3" spans="1:32" ht="10" customHeight="1" thickBot="1">
      <c r="A3" s="302" t="s">
        <v>36</v>
      </c>
      <c r="B3" s="303"/>
      <c r="C3" s="303"/>
      <c r="D3" s="303"/>
      <c r="E3" s="303"/>
      <c r="F3" s="303"/>
      <c r="G3" s="303"/>
      <c r="H3" s="303"/>
      <c r="I3" s="303"/>
      <c r="J3" s="303"/>
      <c r="K3" s="303"/>
      <c r="L3" s="303"/>
      <c r="M3" s="303"/>
      <c r="N3" s="304"/>
      <c r="O3" s="102">
        <v>2004</v>
      </c>
      <c r="P3" s="103"/>
      <c r="Q3" s="102">
        <v>2005</v>
      </c>
      <c r="R3" s="103"/>
      <c r="S3" s="102">
        <v>2006</v>
      </c>
      <c r="T3" s="103"/>
      <c r="U3" s="102">
        <v>2007</v>
      </c>
      <c r="V3" s="103"/>
      <c r="W3" s="102">
        <v>2008</v>
      </c>
      <c r="X3" s="103"/>
      <c r="Y3" s="104"/>
      <c r="Z3" s="104"/>
      <c r="AA3" s="104"/>
      <c r="AB3" s="104"/>
      <c r="AC3" s="104"/>
      <c r="AD3" s="104"/>
      <c r="AE3" s="105"/>
    </row>
    <row r="4" spans="1:32" ht="9.65" customHeight="1">
      <c r="A4" s="305"/>
      <c r="B4" s="306"/>
      <c r="C4" s="306"/>
      <c r="D4" s="306"/>
      <c r="E4" s="306"/>
      <c r="F4" s="306"/>
      <c r="G4" s="306"/>
      <c r="H4" s="306"/>
      <c r="I4" s="306"/>
      <c r="J4" s="306"/>
      <c r="K4" s="306"/>
      <c r="L4" s="306"/>
      <c r="M4" s="306"/>
      <c r="N4" s="307"/>
      <c r="O4" s="311"/>
      <c r="P4" s="313" t="s">
        <v>69</v>
      </c>
      <c r="Q4" s="311"/>
      <c r="R4" s="313" t="s">
        <v>69</v>
      </c>
      <c r="S4" s="311"/>
      <c r="T4" s="313" t="s">
        <v>69</v>
      </c>
      <c r="U4" s="311"/>
      <c r="V4" s="313" t="s">
        <v>69</v>
      </c>
      <c r="W4" s="311"/>
      <c r="X4" s="313" t="s">
        <v>69</v>
      </c>
      <c r="Y4" s="318"/>
      <c r="Z4" s="318"/>
      <c r="AA4" s="318"/>
      <c r="AB4" s="318"/>
      <c r="AC4" s="106"/>
      <c r="AD4" s="318"/>
      <c r="AE4" s="320"/>
      <c r="AF4" s="315"/>
    </row>
    <row r="5" spans="1:32" ht="7.5" customHeight="1" thickBot="1">
      <c r="A5" s="308"/>
      <c r="B5" s="309"/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10"/>
      <c r="O5" s="312"/>
      <c r="P5" s="314"/>
      <c r="Q5" s="312"/>
      <c r="R5" s="314"/>
      <c r="S5" s="312"/>
      <c r="T5" s="314"/>
      <c r="U5" s="312"/>
      <c r="V5" s="314"/>
      <c r="W5" s="312"/>
      <c r="X5" s="314"/>
      <c r="Y5" s="319"/>
      <c r="Z5" s="319"/>
      <c r="AA5" s="319"/>
      <c r="AB5" s="319"/>
      <c r="AC5" s="93"/>
      <c r="AD5" s="319"/>
      <c r="AE5" s="320"/>
      <c r="AF5" s="315"/>
    </row>
    <row r="6" spans="1:32" ht="30" customHeight="1">
      <c r="A6" s="107"/>
      <c r="B6" s="316" t="s">
        <v>376</v>
      </c>
      <c r="C6" s="317"/>
      <c r="D6" s="317"/>
      <c r="E6" s="317"/>
      <c r="F6" s="317"/>
      <c r="G6" s="317"/>
      <c r="H6" s="317"/>
      <c r="I6" s="317"/>
      <c r="J6" s="317"/>
      <c r="K6" s="317"/>
      <c r="L6" s="317"/>
      <c r="M6" s="317"/>
      <c r="N6" s="108"/>
      <c r="O6" s="109"/>
      <c r="P6" s="110" t="s">
        <v>40</v>
      </c>
      <c r="Q6" s="109"/>
      <c r="R6" s="110" t="s">
        <v>40</v>
      </c>
      <c r="S6" s="109"/>
      <c r="T6" s="110" t="s">
        <v>40</v>
      </c>
      <c r="U6" s="109"/>
      <c r="V6" s="110" t="s">
        <v>40</v>
      </c>
      <c r="W6" s="109">
        <v>318787.93346999999</v>
      </c>
      <c r="X6" s="111" t="s">
        <v>428</v>
      </c>
      <c r="Y6" s="112"/>
      <c r="Z6" s="113"/>
      <c r="AA6" s="112"/>
      <c r="AB6" s="113"/>
      <c r="AC6" s="113"/>
      <c r="AD6" s="112"/>
      <c r="AE6" s="105"/>
    </row>
    <row r="7" spans="1:32" ht="30" customHeight="1">
      <c r="A7" s="107"/>
      <c r="B7" s="114"/>
      <c r="C7" s="114"/>
      <c r="D7" s="321" t="s">
        <v>377</v>
      </c>
      <c r="E7" s="322"/>
      <c r="F7" s="322"/>
      <c r="G7" s="322"/>
      <c r="H7" s="322"/>
      <c r="I7" s="322"/>
      <c r="J7" s="322"/>
      <c r="K7" s="322"/>
      <c r="L7" s="322"/>
      <c r="M7" s="322"/>
      <c r="N7" s="116"/>
      <c r="O7" s="109"/>
      <c r="P7" s="110" t="s">
        <v>40</v>
      </c>
      <c r="Q7" s="109"/>
      <c r="R7" s="110" t="s">
        <v>40</v>
      </c>
      <c r="S7" s="109"/>
      <c r="T7" s="110" t="s">
        <v>40</v>
      </c>
      <c r="U7" s="109"/>
      <c r="V7" s="110" t="s">
        <v>40</v>
      </c>
      <c r="W7" s="109">
        <v>-35835.06</v>
      </c>
      <c r="X7" s="111" t="s">
        <v>428</v>
      </c>
      <c r="Y7" s="112"/>
      <c r="Z7" s="113"/>
      <c r="AA7" s="112"/>
      <c r="AB7" s="113"/>
      <c r="AC7" s="113"/>
      <c r="AD7" s="112"/>
      <c r="AE7" s="105"/>
    </row>
    <row r="8" spans="1:32" ht="15.65" customHeight="1">
      <c r="A8" s="107"/>
      <c r="B8" s="114"/>
      <c r="C8" s="114"/>
      <c r="D8" s="114"/>
      <c r="E8" s="114"/>
      <c r="F8" s="323" t="s">
        <v>378</v>
      </c>
      <c r="G8" s="323"/>
      <c r="H8" s="323"/>
      <c r="I8" s="323"/>
      <c r="J8" s="323"/>
      <c r="K8" s="323"/>
      <c r="L8" s="323"/>
      <c r="M8" s="323"/>
      <c r="N8" s="117"/>
      <c r="O8" s="109"/>
      <c r="P8" s="110" t="s">
        <v>40</v>
      </c>
      <c r="Q8" s="109"/>
      <c r="R8" s="110" t="s">
        <v>40</v>
      </c>
      <c r="S8" s="109"/>
      <c r="T8" s="110" t="s">
        <v>40</v>
      </c>
      <c r="U8" s="109"/>
      <c r="V8" s="110" t="s">
        <v>40</v>
      </c>
      <c r="W8" s="109">
        <v>-26135.439999999999</v>
      </c>
      <c r="X8" s="110" t="s">
        <v>374</v>
      </c>
      <c r="Y8" s="112"/>
      <c r="Z8" s="113"/>
      <c r="AA8" s="112"/>
      <c r="AB8" s="113"/>
      <c r="AC8" s="113"/>
      <c r="AD8" s="112"/>
      <c r="AE8" s="105"/>
    </row>
    <row r="9" spans="1:32" ht="15.65" customHeight="1">
      <c r="A9" s="107"/>
      <c r="B9" s="114"/>
      <c r="C9" s="114"/>
      <c r="D9" s="114"/>
      <c r="E9" s="114"/>
      <c r="F9" s="323" t="s">
        <v>379</v>
      </c>
      <c r="G9" s="323"/>
      <c r="H9" s="323"/>
      <c r="I9" s="323"/>
      <c r="J9" s="323"/>
      <c r="K9" s="323"/>
      <c r="L9" s="323"/>
      <c r="M9" s="323"/>
      <c r="N9" s="117"/>
      <c r="O9" s="109"/>
      <c r="P9" s="110" t="s">
        <v>40</v>
      </c>
      <c r="Q9" s="109"/>
      <c r="R9" s="110" t="s">
        <v>40</v>
      </c>
      <c r="S9" s="109"/>
      <c r="T9" s="110" t="s">
        <v>40</v>
      </c>
      <c r="U9" s="109"/>
      <c r="V9" s="110" t="s">
        <v>40</v>
      </c>
      <c r="W9" s="109">
        <v>-2336.7399999999998</v>
      </c>
      <c r="X9" s="110" t="s">
        <v>40</v>
      </c>
      <c r="Y9" s="112"/>
      <c r="Z9" s="113"/>
      <c r="AA9" s="112"/>
      <c r="AB9" s="113"/>
      <c r="AC9" s="113"/>
      <c r="AD9" s="112"/>
      <c r="AE9" s="105"/>
    </row>
    <row r="10" spans="1:32" ht="15.65" customHeight="1">
      <c r="A10" s="107"/>
      <c r="B10" s="114"/>
      <c r="C10" s="114"/>
      <c r="D10" s="114"/>
      <c r="E10" s="114"/>
      <c r="F10" s="323" t="s">
        <v>380</v>
      </c>
      <c r="G10" s="323"/>
      <c r="H10" s="323"/>
      <c r="I10" s="323"/>
      <c r="J10" s="323"/>
      <c r="K10" s="323"/>
      <c r="L10" s="323"/>
      <c r="M10" s="323"/>
      <c r="N10" s="117"/>
      <c r="O10" s="109"/>
      <c r="P10" s="110" t="s">
        <v>40</v>
      </c>
      <c r="Q10" s="109"/>
      <c r="R10" s="110" t="s">
        <v>40</v>
      </c>
      <c r="S10" s="109"/>
      <c r="T10" s="110" t="s">
        <v>40</v>
      </c>
      <c r="U10" s="109"/>
      <c r="V10" s="110" t="s">
        <v>40</v>
      </c>
      <c r="W10" s="109">
        <v>-2060.38</v>
      </c>
      <c r="X10" s="110" t="s">
        <v>40</v>
      </c>
      <c r="Y10" s="112"/>
      <c r="Z10" s="113"/>
      <c r="AA10" s="112"/>
      <c r="AB10" s="113"/>
      <c r="AC10" s="113"/>
      <c r="AD10" s="112"/>
      <c r="AE10" s="105"/>
    </row>
    <row r="11" spans="1:32" ht="15.65" customHeight="1">
      <c r="A11" s="107"/>
      <c r="B11" s="114"/>
      <c r="C11" s="114"/>
      <c r="D11" s="114"/>
      <c r="E11" s="114"/>
      <c r="F11" s="323" t="s">
        <v>381</v>
      </c>
      <c r="G11" s="323"/>
      <c r="H11" s="323"/>
      <c r="I11" s="323"/>
      <c r="J11" s="323"/>
      <c r="K11" s="323"/>
      <c r="L11" s="323"/>
      <c r="M11" s="323"/>
      <c r="N11" s="117"/>
      <c r="O11" s="109"/>
      <c r="P11" s="110" t="s">
        <v>40</v>
      </c>
      <c r="Q11" s="109"/>
      <c r="R11" s="110" t="s">
        <v>40</v>
      </c>
      <c r="S11" s="109"/>
      <c r="T11" s="110" t="s">
        <v>40</v>
      </c>
      <c r="U11" s="109"/>
      <c r="V11" s="110" t="s">
        <v>40</v>
      </c>
      <c r="W11" s="109">
        <v>2695.79</v>
      </c>
      <c r="X11" s="110" t="s">
        <v>40</v>
      </c>
      <c r="Y11" s="112"/>
      <c r="Z11" s="113"/>
      <c r="AA11" s="112"/>
      <c r="AB11" s="113"/>
      <c r="AC11" s="113"/>
      <c r="AD11" s="112"/>
      <c r="AE11" s="105"/>
    </row>
    <row r="12" spans="1:32" ht="15.65" customHeight="1">
      <c r="A12" s="107"/>
      <c r="B12" s="114"/>
      <c r="C12" s="114"/>
      <c r="D12" s="114"/>
      <c r="E12" s="114"/>
      <c r="F12" s="323" t="s">
        <v>382</v>
      </c>
      <c r="G12" s="323"/>
      <c r="H12" s="323"/>
      <c r="I12" s="323"/>
      <c r="J12" s="323"/>
      <c r="K12" s="323"/>
      <c r="L12" s="323"/>
      <c r="M12" s="323"/>
      <c r="N12" s="117"/>
      <c r="O12" s="109"/>
      <c r="P12" s="110" t="s">
        <v>40</v>
      </c>
      <c r="Q12" s="109"/>
      <c r="R12" s="110" t="s">
        <v>40</v>
      </c>
      <c r="S12" s="109"/>
      <c r="T12" s="110" t="s">
        <v>40</v>
      </c>
      <c r="U12" s="109"/>
      <c r="V12" s="110" t="s">
        <v>40</v>
      </c>
      <c r="W12" s="109">
        <v>-6609.5</v>
      </c>
      <c r="X12" s="110" t="s">
        <v>40</v>
      </c>
      <c r="Y12" s="112"/>
      <c r="Z12" s="118"/>
      <c r="AA12" s="112"/>
      <c r="AB12" s="113"/>
      <c r="AC12" s="113"/>
      <c r="AD12" s="112"/>
      <c r="AE12" s="105"/>
    </row>
    <row r="13" spans="1:32" ht="15.65" customHeight="1">
      <c r="A13" s="107"/>
      <c r="B13" s="114"/>
      <c r="C13" s="114"/>
      <c r="D13" s="114"/>
      <c r="E13" s="114"/>
      <c r="F13" s="323" t="s">
        <v>383</v>
      </c>
      <c r="G13" s="323"/>
      <c r="H13" s="323"/>
      <c r="I13" s="323"/>
      <c r="J13" s="323"/>
      <c r="K13" s="323"/>
      <c r="L13" s="323"/>
      <c r="M13" s="323"/>
      <c r="N13" s="117"/>
      <c r="O13" s="109"/>
      <c r="P13" s="110" t="s">
        <v>40</v>
      </c>
      <c r="Q13" s="109"/>
      <c r="R13" s="110" t="s">
        <v>40</v>
      </c>
      <c r="S13" s="109"/>
      <c r="T13" s="110" t="s">
        <v>40</v>
      </c>
      <c r="U13" s="109"/>
      <c r="V13" s="110" t="s">
        <v>40</v>
      </c>
      <c r="W13" s="109">
        <v>-2584.2800000000002</v>
      </c>
      <c r="X13" s="110" t="s">
        <v>40</v>
      </c>
      <c r="Y13" s="112"/>
      <c r="Z13" s="113"/>
      <c r="AA13" s="112"/>
      <c r="AB13" s="113"/>
      <c r="AC13" s="113"/>
      <c r="AD13" s="112"/>
      <c r="AE13" s="105"/>
    </row>
    <row r="14" spans="1:32" ht="15.65" customHeight="1" thickBot="1">
      <c r="A14" s="119"/>
      <c r="B14" s="120"/>
      <c r="C14" s="120"/>
      <c r="D14" s="120"/>
      <c r="E14" s="120"/>
      <c r="F14" s="324" t="s">
        <v>384</v>
      </c>
      <c r="G14" s="324"/>
      <c r="H14" s="324"/>
      <c r="I14" s="324"/>
      <c r="J14" s="324"/>
      <c r="K14" s="324"/>
      <c r="L14" s="324"/>
      <c r="M14" s="324"/>
      <c r="N14" s="121"/>
      <c r="O14" s="122"/>
      <c r="P14" s="123" t="s">
        <v>40</v>
      </c>
      <c r="Q14" s="122"/>
      <c r="R14" s="123" t="s">
        <v>40</v>
      </c>
      <c r="S14" s="122"/>
      <c r="T14" s="123" t="s">
        <v>40</v>
      </c>
      <c r="U14" s="122"/>
      <c r="V14" s="123" t="s">
        <v>40</v>
      </c>
      <c r="W14" s="122">
        <v>1195.49</v>
      </c>
      <c r="X14" s="123" t="s">
        <v>40</v>
      </c>
      <c r="Y14" s="112"/>
      <c r="Z14" s="113"/>
      <c r="AA14" s="112"/>
      <c r="AB14" s="113"/>
      <c r="AC14" s="113"/>
      <c r="AD14" s="112"/>
      <c r="AE14" s="105"/>
    </row>
    <row r="15" spans="1:32" ht="31.5" customHeight="1">
      <c r="A15" s="124"/>
      <c r="B15" s="316" t="s">
        <v>385</v>
      </c>
      <c r="C15" s="317"/>
      <c r="D15" s="317"/>
      <c r="E15" s="317"/>
      <c r="F15" s="317"/>
      <c r="G15" s="317"/>
      <c r="H15" s="317"/>
      <c r="I15" s="317"/>
      <c r="J15" s="317"/>
      <c r="K15" s="317"/>
      <c r="L15" s="317"/>
      <c r="M15" s="317"/>
      <c r="N15" s="125"/>
      <c r="O15" s="109"/>
      <c r="P15" s="110"/>
      <c r="Q15" s="109"/>
      <c r="R15" s="110"/>
      <c r="S15" s="109"/>
      <c r="T15" s="110"/>
      <c r="U15" s="109"/>
      <c r="V15" s="110"/>
      <c r="W15" s="109"/>
      <c r="X15" s="110"/>
      <c r="Y15" s="112"/>
      <c r="Z15" s="113"/>
      <c r="AA15" s="112"/>
      <c r="AB15" s="113"/>
      <c r="AC15" s="113"/>
      <c r="AD15" s="112"/>
      <c r="AE15" s="105"/>
    </row>
    <row r="16" spans="1:32" ht="26.15" customHeight="1">
      <c r="A16" s="124"/>
      <c r="B16" s="126"/>
      <c r="C16" s="126"/>
      <c r="D16" s="325" t="s">
        <v>85</v>
      </c>
      <c r="E16" s="325"/>
      <c r="F16" s="325"/>
      <c r="G16" s="325"/>
      <c r="H16" s="325"/>
      <c r="I16" s="325"/>
      <c r="J16" s="325"/>
      <c r="K16" s="325"/>
      <c r="L16" s="325"/>
      <c r="M16" s="325"/>
      <c r="N16" s="116"/>
      <c r="O16" s="109"/>
      <c r="P16" s="110"/>
      <c r="Q16" s="109"/>
      <c r="R16" s="110"/>
      <c r="S16" s="109"/>
      <c r="T16" s="110"/>
      <c r="U16" s="109"/>
      <c r="V16" s="110"/>
      <c r="W16" s="109"/>
      <c r="X16" s="110"/>
      <c r="Y16" s="112"/>
      <c r="Z16" s="113"/>
      <c r="AA16" s="112"/>
      <c r="AB16" s="113"/>
      <c r="AC16" s="113"/>
      <c r="AD16" s="112"/>
      <c r="AE16" s="105"/>
    </row>
    <row r="17" spans="1:31" ht="26.15" customHeight="1">
      <c r="A17" s="124"/>
      <c r="B17" s="126"/>
      <c r="C17" s="126"/>
      <c r="D17" s="126"/>
      <c r="E17" s="126"/>
      <c r="F17" s="323" t="s">
        <v>386</v>
      </c>
      <c r="G17" s="323"/>
      <c r="H17" s="323"/>
      <c r="I17" s="323"/>
      <c r="J17" s="323"/>
      <c r="K17" s="323"/>
      <c r="L17" s="323"/>
      <c r="M17" s="323"/>
      <c r="N17" s="127"/>
      <c r="O17" s="109"/>
      <c r="P17" s="110" t="s">
        <v>40</v>
      </c>
      <c r="Q17" s="109"/>
      <c r="R17" s="110" t="s">
        <v>40</v>
      </c>
      <c r="S17" s="109"/>
      <c r="T17" s="110" t="s">
        <v>40</v>
      </c>
      <c r="U17" s="109"/>
      <c r="V17" s="110" t="s">
        <v>40</v>
      </c>
      <c r="W17" s="109">
        <v>155587.51</v>
      </c>
      <c r="X17" s="110" t="s">
        <v>40</v>
      </c>
      <c r="Y17" s="112"/>
      <c r="Z17" s="113"/>
      <c r="AA17" s="112"/>
      <c r="AB17" s="113"/>
      <c r="AC17" s="113"/>
      <c r="AD17" s="112"/>
      <c r="AE17" s="105"/>
    </row>
    <row r="18" spans="1:31" ht="26.15" customHeight="1">
      <c r="A18" s="124"/>
      <c r="B18" s="126"/>
      <c r="C18" s="126"/>
      <c r="D18" s="126"/>
      <c r="E18" s="126"/>
      <c r="F18" s="323" t="s">
        <v>395</v>
      </c>
      <c r="G18" s="323"/>
      <c r="H18" s="323"/>
      <c r="I18" s="323"/>
      <c r="J18" s="323"/>
      <c r="K18" s="323"/>
      <c r="L18" s="323"/>
      <c r="M18" s="323"/>
      <c r="N18" s="127"/>
      <c r="O18" s="109"/>
      <c r="P18" s="110" t="s">
        <v>40</v>
      </c>
      <c r="Q18" s="109"/>
      <c r="R18" s="110" t="s">
        <v>40</v>
      </c>
      <c r="S18" s="109"/>
      <c r="T18" s="110" t="s">
        <v>40</v>
      </c>
      <c r="U18" s="109"/>
      <c r="V18" s="110" t="s">
        <v>40</v>
      </c>
      <c r="W18" s="109">
        <v>55421.973469999997</v>
      </c>
      <c r="X18" s="110" t="s">
        <v>40</v>
      </c>
      <c r="Y18" s="112"/>
      <c r="Z18" s="113"/>
      <c r="AA18" s="112"/>
      <c r="AB18" s="113"/>
      <c r="AC18" s="113"/>
      <c r="AD18" s="112"/>
      <c r="AE18" s="105"/>
    </row>
    <row r="19" spans="1:31" ht="26.15" customHeight="1">
      <c r="A19" s="124"/>
      <c r="B19" s="126"/>
      <c r="C19" s="126"/>
      <c r="D19" s="126"/>
      <c r="E19" s="126"/>
      <c r="F19" s="323" t="s">
        <v>396</v>
      </c>
      <c r="G19" s="323"/>
      <c r="H19" s="323"/>
      <c r="I19" s="323"/>
      <c r="J19" s="323"/>
      <c r="K19" s="323"/>
      <c r="L19" s="323"/>
      <c r="M19" s="323"/>
      <c r="N19" s="127"/>
      <c r="O19" s="109"/>
      <c r="P19" s="110" t="s">
        <v>40</v>
      </c>
      <c r="Q19" s="109"/>
      <c r="R19" s="110" t="s">
        <v>40</v>
      </c>
      <c r="S19" s="109"/>
      <c r="T19" s="110" t="s">
        <v>40</v>
      </c>
      <c r="U19" s="109"/>
      <c r="V19" s="110" t="s">
        <v>40</v>
      </c>
      <c r="W19" s="109">
        <v>102547.66</v>
      </c>
      <c r="X19" s="110" t="s">
        <v>40</v>
      </c>
      <c r="Y19" s="112"/>
      <c r="Z19" s="128"/>
      <c r="AA19" s="112"/>
      <c r="AB19" s="113"/>
      <c r="AC19" s="113"/>
      <c r="AD19" s="112"/>
      <c r="AE19" s="105"/>
    </row>
    <row r="20" spans="1:31" ht="26.15" customHeight="1" thickBot="1">
      <c r="A20" s="129"/>
      <c r="B20" s="130"/>
      <c r="C20" s="130"/>
      <c r="D20" s="130"/>
      <c r="E20" s="130"/>
      <c r="F20" s="324" t="s">
        <v>397</v>
      </c>
      <c r="G20" s="324"/>
      <c r="H20" s="324"/>
      <c r="I20" s="324"/>
      <c r="J20" s="324"/>
      <c r="K20" s="324"/>
      <c r="L20" s="324"/>
      <c r="M20" s="324"/>
      <c r="N20" s="131"/>
      <c r="O20" s="122"/>
      <c r="P20" s="123"/>
      <c r="Q20" s="122"/>
      <c r="R20" s="123"/>
      <c r="S20" s="122"/>
      <c r="T20" s="123"/>
      <c r="U20" s="122"/>
      <c r="V20" s="123"/>
      <c r="W20" s="122">
        <v>5230.79</v>
      </c>
      <c r="X20" s="123" t="s">
        <v>40</v>
      </c>
      <c r="Y20" s="112"/>
      <c r="Z20" s="128"/>
      <c r="AA20" s="112"/>
      <c r="AB20" s="113"/>
      <c r="AC20" s="113"/>
      <c r="AD20" s="112"/>
      <c r="AE20" s="105"/>
    </row>
    <row r="21" spans="1:31" ht="26.15" customHeight="1">
      <c r="A21" s="124"/>
      <c r="B21" s="323" t="s">
        <v>377</v>
      </c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127"/>
      <c r="O21" s="132"/>
      <c r="P21" s="110"/>
      <c r="Q21" s="132"/>
      <c r="R21" s="110"/>
      <c r="S21" s="132"/>
      <c r="T21" s="110"/>
      <c r="U21" s="132"/>
      <c r="V21" s="110"/>
      <c r="W21" s="132"/>
      <c r="X21" s="110"/>
      <c r="Y21" s="133"/>
      <c r="Z21" s="133"/>
      <c r="AA21" s="112"/>
      <c r="AB21" s="113"/>
      <c r="AC21" s="113"/>
      <c r="AD21" s="112"/>
      <c r="AE21" s="105"/>
    </row>
    <row r="22" spans="1:31" ht="26.15" customHeight="1">
      <c r="A22" s="124"/>
      <c r="B22" s="115"/>
      <c r="C22" s="115"/>
      <c r="D22" s="321" t="s">
        <v>85</v>
      </c>
      <c r="E22" s="326"/>
      <c r="F22" s="326"/>
      <c r="G22" s="326"/>
      <c r="H22" s="326"/>
      <c r="I22" s="326"/>
      <c r="J22" s="326"/>
      <c r="K22" s="326"/>
      <c r="L22" s="326"/>
      <c r="M22" s="326"/>
      <c r="N22" s="116"/>
      <c r="O22" s="132"/>
      <c r="P22" s="110"/>
      <c r="Q22" s="132"/>
      <c r="R22" s="110"/>
      <c r="S22" s="132"/>
      <c r="T22" s="110"/>
      <c r="U22" s="132"/>
      <c r="V22" s="110"/>
      <c r="W22" s="132"/>
      <c r="X22" s="110"/>
      <c r="Y22" s="133"/>
      <c r="Z22" s="133"/>
      <c r="AA22" s="112"/>
      <c r="AB22" s="113"/>
      <c r="AC22" s="113"/>
      <c r="AD22" s="112"/>
      <c r="AE22" s="105"/>
    </row>
    <row r="23" spans="1:31" ht="26.15" customHeight="1">
      <c r="A23" s="124"/>
      <c r="B23" s="126"/>
      <c r="C23" s="126"/>
      <c r="D23" s="126"/>
      <c r="E23" s="126"/>
      <c r="F23" s="323" t="s">
        <v>386</v>
      </c>
      <c r="G23" s="323"/>
      <c r="H23" s="323"/>
      <c r="I23" s="323"/>
      <c r="J23" s="323"/>
      <c r="K23" s="323"/>
      <c r="L23" s="323"/>
      <c r="M23" s="323"/>
      <c r="N23" s="127"/>
      <c r="O23" s="109"/>
      <c r="P23" s="110" t="s">
        <v>40</v>
      </c>
      <c r="Q23" s="109"/>
      <c r="R23" s="110" t="s">
        <v>40</v>
      </c>
      <c r="S23" s="109"/>
      <c r="T23" s="110" t="s">
        <v>40</v>
      </c>
      <c r="U23" s="109"/>
      <c r="V23" s="110" t="s">
        <v>40</v>
      </c>
      <c r="W23" s="109">
        <v>-38714.17</v>
      </c>
      <c r="X23" s="110" t="s">
        <v>40</v>
      </c>
      <c r="Y23" s="134"/>
      <c r="Z23" s="134"/>
      <c r="AA23" s="112"/>
      <c r="AB23" s="113"/>
      <c r="AC23" s="113"/>
      <c r="AD23" s="112"/>
      <c r="AE23" s="105"/>
    </row>
    <row r="24" spans="1:31" ht="26.15" customHeight="1">
      <c r="A24" s="124"/>
      <c r="B24" s="126"/>
      <c r="C24" s="126"/>
      <c r="D24" s="126"/>
      <c r="E24" s="126"/>
      <c r="F24" s="323" t="s">
        <v>395</v>
      </c>
      <c r="G24" s="323"/>
      <c r="H24" s="323"/>
      <c r="I24" s="323"/>
      <c r="J24" s="323"/>
      <c r="K24" s="323"/>
      <c r="L24" s="323"/>
      <c r="M24" s="323"/>
      <c r="N24" s="127"/>
      <c r="O24" s="109"/>
      <c r="P24" s="110" t="s">
        <v>40</v>
      </c>
      <c r="Q24" s="109"/>
      <c r="R24" s="110" t="s">
        <v>40</v>
      </c>
      <c r="S24" s="109"/>
      <c r="T24" s="110" t="s">
        <v>40</v>
      </c>
      <c r="U24" s="109"/>
      <c r="V24" s="110" t="s">
        <v>40</v>
      </c>
      <c r="W24" s="109">
        <v>1151.99</v>
      </c>
      <c r="X24" s="110" t="s">
        <v>40</v>
      </c>
      <c r="Y24" s="134"/>
      <c r="Z24" s="134"/>
      <c r="AA24" s="112"/>
      <c r="AB24" s="113"/>
      <c r="AC24" s="113"/>
      <c r="AD24" s="112"/>
      <c r="AE24" s="105"/>
    </row>
    <row r="25" spans="1:31" ht="26.15" customHeight="1">
      <c r="A25" s="124"/>
      <c r="B25" s="126"/>
      <c r="C25" s="126"/>
      <c r="D25" s="126"/>
      <c r="E25" s="126"/>
      <c r="F25" s="323" t="s">
        <v>396</v>
      </c>
      <c r="G25" s="323"/>
      <c r="H25" s="323"/>
      <c r="I25" s="323"/>
      <c r="J25" s="323"/>
      <c r="K25" s="323"/>
      <c r="L25" s="323"/>
      <c r="M25" s="323"/>
      <c r="N25" s="127"/>
      <c r="O25" s="109"/>
      <c r="P25" s="110" t="s">
        <v>40</v>
      </c>
      <c r="Q25" s="109"/>
      <c r="R25" s="110" t="s">
        <v>40</v>
      </c>
      <c r="S25" s="109"/>
      <c r="T25" s="110" t="s">
        <v>40</v>
      </c>
      <c r="U25" s="109"/>
      <c r="V25" s="110" t="s">
        <v>40</v>
      </c>
      <c r="W25" s="109">
        <v>1794.82</v>
      </c>
      <c r="X25" s="110" t="s">
        <v>40</v>
      </c>
      <c r="Y25" s="118"/>
      <c r="Z25" s="118"/>
      <c r="AA25" s="133"/>
      <c r="AB25" s="133"/>
      <c r="AC25" s="133"/>
      <c r="AD25" s="133"/>
      <c r="AE25" s="105"/>
    </row>
    <row r="26" spans="1:31" ht="26.15" customHeight="1" thickBot="1">
      <c r="A26" s="129"/>
      <c r="B26" s="130"/>
      <c r="C26" s="130"/>
      <c r="D26" s="130"/>
      <c r="E26" s="130"/>
      <c r="F26" s="324" t="s">
        <v>397</v>
      </c>
      <c r="G26" s="324"/>
      <c r="H26" s="324"/>
      <c r="I26" s="324"/>
      <c r="J26" s="324"/>
      <c r="K26" s="324"/>
      <c r="L26" s="324"/>
      <c r="M26" s="324"/>
      <c r="N26" s="135"/>
      <c r="O26" s="136"/>
      <c r="P26" s="137"/>
      <c r="Q26" s="136"/>
      <c r="R26" s="137"/>
      <c r="S26" s="136"/>
      <c r="T26" s="137"/>
      <c r="U26" s="136"/>
      <c r="V26" s="137"/>
      <c r="W26" s="122">
        <v>-67.7</v>
      </c>
      <c r="X26" s="123" t="s">
        <v>40</v>
      </c>
      <c r="Y26" s="118"/>
      <c r="Z26" s="118"/>
      <c r="AA26" s="133"/>
      <c r="AB26" s="133"/>
      <c r="AC26" s="133"/>
      <c r="AD26" s="133"/>
      <c r="AE26" s="105"/>
    </row>
    <row r="27" spans="1:31" ht="13.5" customHeight="1">
      <c r="A27" s="328" t="s">
        <v>403</v>
      </c>
      <c r="B27" s="328"/>
      <c r="C27" s="328"/>
      <c r="D27" s="328"/>
      <c r="E27" s="328"/>
      <c r="F27" s="328"/>
      <c r="G27" s="97"/>
      <c r="H27" s="256" t="s">
        <v>431</v>
      </c>
      <c r="I27" s="298" t="s">
        <v>404</v>
      </c>
      <c r="J27" s="299"/>
      <c r="K27" s="299"/>
      <c r="L27" s="299"/>
      <c r="M27" s="299"/>
      <c r="N27" s="299"/>
      <c r="O27" s="299"/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139"/>
      <c r="AA27" s="134"/>
      <c r="AB27" s="134"/>
      <c r="AC27" s="134"/>
      <c r="AD27" s="134"/>
      <c r="AE27" s="105"/>
    </row>
    <row r="28" spans="1:31" ht="13.5" customHeight="1">
      <c r="A28" s="138"/>
      <c r="B28" s="138"/>
      <c r="C28" s="138"/>
      <c r="D28" s="138"/>
      <c r="E28" s="138"/>
      <c r="F28" s="138"/>
      <c r="G28" s="97"/>
      <c r="H28" s="256" t="s">
        <v>432</v>
      </c>
      <c r="I28" s="250" t="s">
        <v>422</v>
      </c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34"/>
      <c r="AC28" s="134"/>
      <c r="AD28" s="134"/>
      <c r="AE28" s="105"/>
    </row>
    <row r="29" spans="1:31" ht="13.5" customHeight="1">
      <c r="A29" s="138"/>
      <c r="B29" s="138"/>
      <c r="C29" s="138"/>
      <c r="D29" s="138"/>
      <c r="E29" s="138"/>
      <c r="F29" s="138"/>
      <c r="G29" s="97"/>
      <c r="H29" s="256" t="s">
        <v>433</v>
      </c>
      <c r="I29" s="244" t="s">
        <v>423</v>
      </c>
      <c r="J29" s="244"/>
      <c r="K29" s="244"/>
      <c r="L29" s="244"/>
      <c r="M29" s="244"/>
      <c r="N29" s="244"/>
      <c r="O29" s="244"/>
      <c r="P29" s="244"/>
      <c r="Q29" s="244"/>
      <c r="R29" s="244"/>
      <c r="S29" s="244"/>
      <c r="T29" s="244"/>
      <c r="U29" s="244"/>
      <c r="V29" s="244"/>
      <c r="W29" s="244"/>
      <c r="X29" s="244"/>
      <c r="Y29" s="244"/>
      <c r="Z29" s="244"/>
      <c r="AA29" s="244"/>
      <c r="AB29" s="134"/>
      <c r="AC29" s="134"/>
      <c r="AD29" s="134"/>
      <c r="AE29" s="105"/>
    </row>
    <row r="30" spans="1:31" ht="13.5" customHeight="1">
      <c r="A30" s="138"/>
      <c r="B30" s="138"/>
      <c r="C30" s="138"/>
      <c r="D30" s="138"/>
      <c r="E30" s="138"/>
      <c r="F30" s="138"/>
      <c r="G30" s="97"/>
      <c r="H30" s="256" t="s">
        <v>434</v>
      </c>
      <c r="I30" s="298" t="s">
        <v>424</v>
      </c>
      <c r="J30" s="298"/>
      <c r="K30" s="298"/>
      <c r="L30" s="298"/>
      <c r="M30" s="298"/>
      <c r="N30" s="298"/>
      <c r="O30" s="298"/>
      <c r="P30" s="298"/>
      <c r="Q30" s="298"/>
      <c r="R30" s="298"/>
      <c r="S30" s="298"/>
      <c r="T30" s="298"/>
      <c r="U30" s="298"/>
      <c r="V30" s="298"/>
      <c r="W30" s="298"/>
      <c r="X30" s="298"/>
      <c r="Y30" s="298"/>
      <c r="Z30" s="298"/>
      <c r="AA30" s="298"/>
      <c r="AB30" s="134"/>
      <c r="AC30" s="134"/>
      <c r="AD30" s="134"/>
      <c r="AE30" s="105"/>
    </row>
    <row r="31" spans="1:31" ht="13.5" customHeight="1">
      <c r="A31" s="138"/>
      <c r="B31" s="138"/>
      <c r="C31" s="138"/>
      <c r="D31" s="138"/>
      <c r="E31" s="138"/>
      <c r="F31" s="138"/>
      <c r="G31" s="97"/>
      <c r="H31" s="256"/>
      <c r="I31" s="327" t="s">
        <v>425</v>
      </c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V31" s="327"/>
      <c r="W31" s="327"/>
      <c r="X31" s="327"/>
      <c r="Y31" s="327"/>
      <c r="Z31" s="327"/>
      <c r="AA31" s="327"/>
      <c r="AB31" s="134"/>
      <c r="AC31" s="134"/>
      <c r="AD31" s="134"/>
      <c r="AE31" s="105"/>
    </row>
    <row r="32" spans="1:31" ht="13.5" customHeight="1">
      <c r="A32" s="138"/>
      <c r="B32" s="138"/>
      <c r="C32" s="138"/>
      <c r="D32" s="138"/>
      <c r="E32" s="138"/>
      <c r="F32" s="138"/>
      <c r="G32" s="97"/>
      <c r="H32" s="256" t="s">
        <v>435</v>
      </c>
      <c r="I32" s="244" t="s">
        <v>426</v>
      </c>
      <c r="J32" s="244"/>
      <c r="K32" s="244"/>
      <c r="L32" s="244"/>
      <c r="M32" s="244"/>
      <c r="N32" s="244"/>
      <c r="O32" s="244"/>
      <c r="P32" s="244"/>
      <c r="Q32" s="244"/>
      <c r="R32" s="244"/>
      <c r="S32" s="244"/>
      <c r="T32" s="244"/>
      <c r="U32" s="244"/>
      <c r="V32" s="244"/>
      <c r="W32" s="244"/>
      <c r="X32" s="244"/>
      <c r="Y32" s="244"/>
      <c r="Z32" s="244"/>
      <c r="AA32" s="244"/>
      <c r="AB32" s="134"/>
      <c r="AC32" s="134"/>
      <c r="AD32" s="134"/>
      <c r="AE32" s="105"/>
    </row>
    <row r="33" spans="1:31" ht="13.5" customHeight="1">
      <c r="A33" s="97"/>
      <c r="B33" s="97"/>
      <c r="C33" s="97"/>
      <c r="D33" s="141"/>
      <c r="E33" s="97"/>
      <c r="F33" s="97"/>
      <c r="G33" s="97"/>
      <c r="I33" s="244" t="s">
        <v>427</v>
      </c>
      <c r="J33" s="244"/>
      <c r="K33" s="244"/>
      <c r="L33" s="244"/>
      <c r="M33" s="244"/>
      <c r="N33" s="244"/>
      <c r="O33" s="244"/>
      <c r="P33" s="244"/>
      <c r="Q33" s="244"/>
      <c r="R33" s="244"/>
      <c r="S33" s="244"/>
      <c r="T33" s="244"/>
      <c r="U33" s="244"/>
      <c r="V33" s="244"/>
      <c r="W33" s="244"/>
      <c r="X33" s="244"/>
      <c r="Y33" s="244"/>
      <c r="Z33" s="244"/>
      <c r="AA33" s="244"/>
      <c r="AB33" s="134"/>
      <c r="AC33" s="134"/>
      <c r="AD33" s="134"/>
      <c r="AE33" s="105"/>
    </row>
    <row r="34" spans="1:31" ht="13.5" customHeight="1">
      <c r="A34" s="97"/>
      <c r="B34" s="97"/>
      <c r="C34" s="97"/>
      <c r="D34" s="141"/>
      <c r="E34" s="97"/>
      <c r="F34" s="97"/>
      <c r="G34" s="97"/>
      <c r="I34" s="298"/>
      <c r="J34" s="299"/>
      <c r="K34" s="299"/>
      <c r="L34" s="299"/>
      <c r="M34" s="299"/>
      <c r="N34" s="299"/>
      <c r="O34" s="299"/>
      <c r="P34" s="299"/>
      <c r="Q34" s="299"/>
      <c r="R34" s="299"/>
      <c r="S34" s="299"/>
      <c r="T34" s="299"/>
      <c r="U34" s="299"/>
      <c r="V34" s="299"/>
      <c r="W34" s="299"/>
      <c r="X34" s="299"/>
      <c r="Y34" s="299"/>
      <c r="Z34" s="300"/>
      <c r="AA34" s="300"/>
      <c r="AB34" s="118"/>
      <c r="AC34" s="118"/>
      <c r="AD34" s="118"/>
    </row>
    <row r="35" spans="1:31" ht="13.5" customHeight="1">
      <c r="A35" s="97"/>
      <c r="B35" s="97"/>
      <c r="C35" s="97"/>
      <c r="D35" s="141"/>
      <c r="E35" s="97"/>
      <c r="F35" s="97"/>
      <c r="G35" s="97"/>
      <c r="I35" s="298"/>
      <c r="J35" s="299"/>
      <c r="K35" s="299"/>
      <c r="L35" s="299"/>
      <c r="M35" s="299"/>
      <c r="N35" s="299"/>
      <c r="O35" s="299"/>
      <c r="P35" s="299"/>
      <c r="Q35" s="299"/>
      <c r="R35" s="299"/>
      <c r="S35" s="299"/>
      <c r="T35" s="299"/>
      <c r="U35" s="299"/>
      <c r="V35" s="299"/>
      <c r="W35" s="299"/>
      <c r="X35" s="299"/>
      <c r="Y35" s="299"/>
      <c r="Z35" s="300"/>
      <c r="AA35" s="300"/>
      <c r="AB35" s="118"/>
      <c r="AC35" s="118"/>
      <c r="AD35" s="118"/>
    </row>
    <row r="36" spans="1:31" ht="13.5" customHeight="1">
      <c r="A36" s="97"/>
      <c r="B36" s="97"/>
      <c r="C36" s="97"/>
      <c r="D36" s="141"/>
      <c r="E36" s="97"/>
      <c r="F36" s="97"/>
      <c r="G36" s="97"/>
      <c r="I36" s="298"/>
      <c r="J36" s="299"/>
      <c r="K36" s="299"/>
      <c r="L36" s="299"/>
      <c r="M36" s="299"/>
      <c r="N36" s="299"/>
      <c r="O36" s="299"/>
      <c r="P36" s="299"/>
      <c r="Q36" s="299"/>
      <c r="R36" s="299"/>
      <c r="S36" s="299"/>
      <c r="T36" s="299"/>
      <c r="U36" s="299"/>
      <c r="V36" s="299"/>
      <c r="W36" s="299"/>
      <c r="X36" s="299"/>
      <c r="Y36" s="299"/>
      <c r="Z36" s="300"/>
      <c r="AA36" s="300"/>
      <c r="AB36" s="139"/>
      <c r="AC36" s="139"/>
      <c r="AD36" s="139"/>
    </row>
    <row r="37" spans="1:31" ht="13.5" customHeight="1">
      <c r="A37" s="97"/>
      <c r="B37" s="97"/>
      <c r="C37" s="97"/>
      <c r="D37" s="97"/>
      <c r="E37" s="97"/>
      <c r="F37" s="97"/>
      <c r="G37" s="97"/>
      <c r="H37" s="104"/>
      <c r="I37" s="298"/>
      <c r="J37" s="299"/>
      <c r="K37" s="299"/>
      <c r="L37" s="299"/>
      <c r="M37" s="299"/>
      <c r="N37" s="299"/>
      <c r="O37" s="299"/>
      <c r="P37" s="299"/>
      <c r="Q37" s="299"/>
      <c r="R37" s="299"/>
      <c r="S37" s="299"/>
      <c r="T37" s="299"/>
      <c r="U37" s="299"/>
      <c r="V37" s="299"/>
      <c r="W37" s="299"/>
      <c r="X37" s="299"/>
      <c r="Y37" s="299"/>
      <c r="Z37" s="300"/>
      <c r="AA37" s="300"/>
      <c r="AB37" s="139"/>
      <c r="AC37" s="139"/>
      <c r="AD37" s="139"/>
    </row>
    <row r="38" spans="1:31" ht="13">
      <c r="AA38" s="139"/>
      <c r="AB38" s="139"/>
      <c r="AC38" s="139"/>
      <c r="AD38" s="139"/>
    </row>
    <row r="39" spans="1:31" ht="13">
      <c r="AA39" s="139"/>
      <c r="AB39" s="139"/>
      <c r="AC39" s="139"/>
      <c r="AD39" s="139"/>
    </row>
    <row r="40" spans="1:31" ht="20.25" customHeight="1"/>
    <row r="41" spans="1:31" ht="20.25" customHeight="1"/>
    <row r="42" spans="1:31" ht="20.25" customHeight="1">
      <c r="B42" s="96">
        <v>0</v>
      </c>
    </row>
    <row r="43" spans="1:31" ht="20.25" customHeight="1"/>
    <row r="44" spans="1:31" ht="13.5" customHeight="1"/>
    <row r="51" ht="26.5" customHeight="1"/>
  </sheetData>
  <mergeCells count="48">
    <mergeCell ref="D22:M22"/>
    <mergeCell ref="F23:M23"/>
    <mergeCell ref="F24:M24"/>
    <mergeCell ref="F25:M25"/>
    <mergeCell ref="I31:AA31"/>
    <mergeCell ref="F26:M26"/>
    <mergeCell ref="A27:F27"/>
    <mergeCell ref="I27:Y27"/>
    <mergeCell ref="I30:AA30"/>
    <mergeCell ref="B15:M15"/>
    <mergeCell ref="D16:M16"/>
    <mergeCell ref="F17:M17"/>
    <mergeCell ref="F18:M18"/>
    <mergeCell ref="F19:M19"/>
    <mergeCell ref="B21:M21"/>
    <mergeCell ref="F20:M20"/>
    <mergeCell ref="F9:M9"/>
    <mergeCell ref="F10:M10"/>
    <mergeCell ref="F11:M11"/>
    <mergeCell ref="F12:M12"/>
    <mergeCell ref="F13:M13"/>
    <mergeCell ref="F14:M14"/>
    <mergeCell ref="D7:M7"/>
    <mergeCell ref="F8:M8"/>
    <mergeCell ref="AA4:AA5"/>
    <mergeCell ref="AB4:AB5"/>
    <mergeCell ref="W4:W5"/>
    <mergeCell ref="X4:X5"/>
    <mergeCell ref="U4:U5"/>
    <mergeCell ref="V4:V5"/>
    <mergeCell ref="S4:S5"/>
    <mergeCell ref="T4:T5"/>
    <mergeCell ref="AF4:AF5"/>
    <mergeCell ref="B6:M6"/>
    <mergeCell ref="AD4:AD5"/>
    <mergeCell ref="AE4:AE5"/>
    <mergeCell ref="Y4:Y5"/>
    <mergeCell ref="Z4:Z5"/>
    <mergeCell ref="I37:AA37"/>
    <mergeCell ref="I34:AA34"/>
    <mergeCell ref="I35:AA35"/>
    <mergeCell ref="I36:AA36"/>
    <mergeCell ref="A1:AD1"/>
    <mergeCell ref="A3:N5"/>
    <mergeCell ref="O4:O5"/>
    <mergeCell ref="P4:P5"/>
    <mergeCell ref="Q4:Q5"/>
    <mergeCell ref="R4:R5"/>
  </mergeCells>
  <phoneticPr fontId="7"/>
  <pageMargins left="0.75" right="0.75" top="1" bottom="1" header="0.51200000000000001" footer="0.51200000000000001"/>
  <pageSetup paperSize="9" scale="68" orientation="landscape" horizontalDpi="300" verticalDpi="3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FCBCA-7FC6-4DF1-9431-C01E56414541}">
  <dimension ref="A1:X111"/>
  <sheetViews>
    <sheetView view="pageBreakPreview" zoomScaleNormal="205" workbookViewId="0"/>
  </sheetViews>
  <sheetFormatPr defaultColWidth="9" defaultRowHeight="11"/>
  <cols>
    <col min="1" max="1" width="32.36328125" style="2" customWidth="1"/>
    <col min="2" max="2" width="15.6328125" style="2" customWidth="1"/>
    <col min="3" max="3" width="8.36328125" style="2" customWidth="1"/>
    <col min="4" max="4" width="15.6328125" style="2" customWidth="1"/>
    <col min="5" max="5" width="8.36328125" style="2" customWidth="1"/>
    <col min="6" max="6" width="15.6328125" style="2" customWidth="1"/>
    <col min="7" max="7" width="8.36328125" style="2" customWidth="1"/>
    <col min="8" max="8" width="15.6328125" style="2" customWidth="1"/>
    <col min="9" max="9" width="8.36328125" style="2" customWidth="1"/>
    <col min="10" max="10" width="15.6328125" style="2" customWidth="1"/>
    <col min="11" max="11" width="8.36328125" style="2" customWidth="1"/>
    <col min="12" max="16384" width="9" style="2"/>
  </cols>
  <sheetData>
    <row r="1" spans="1:3" ht="19">
      <c r="A1" s="1" t="s">
        <v>387</v>
      </c>
    </row>
    <row r="3" spans="1:3" ht="11.5" thickBot="1">
      <c r="C3" s="3" t="s">
        <v>35</v>
      </c>
    </row>
    <row r="4" spans="1:3" ht="12" customHeight="1" thickBot="1">
      <c r="A4" s="274" t="s">
        <v>36</v>
      </c>
      <c r="B4" s="263" t="s">
        <v>276</v>
      </c>
      <c r="C4" s="264"/>
    </row>
    <row r="5" spans="1:3" ht="25" customHeight="1" thickBot="1">
      <c r="A5" s="275"/>
      <c r="B5" s="4"/>
      <c r="C5" s="5" t="s">
        <v>37</v>
      </c>
    </row>
    <row r="6" spans="1:3" ht="25" customHeight="1">
      <c r="A6" s="144" t="s">
        <v>385</v>
      </c>
      <c r="B6" s="145"/>
      <c r="C6" s="146"/>
    </row>
    <row r="7" spans="1:3" ht="12" customHeight="1">
      <c r="A7" s="266" t="s">
        <v>388</v>
      </c>
      <c r="B7" s="27"/>
      <c r="C7" s="28"/>
    </row>
    <row r="8" spans="1:3" ht="12" customHeight="1">
      <c r="A8" s="266"/>
      <c r="B8" s="29">
        <v>28120.41001</v>
      </c>
      <c r="C8" s="30">
        <v>100</v>
      </c>
    </row>
    <row r="9" spans="1:3" ht="12" customHeight="1">
      <c r="A9" s="8"/>
      <c r="B9" s="29"/>
      <c r="C9" s="30"/>
    </row>
    <row r="10" spans="1:3" ht="12" customHeight="1">
      <c r="A10" s="8"/>
      <c r="B10" s="147"/>
      <c r="C10" s="148"/>
    </row>
    <row r="11" spans="1:3" ht="12" customHeight="1">
      <c r="A11" s="266" t="s">
        <v>389</v>
      </c>
      <c r="B11" s="29"/>
      <c r="C11" s="28"/>
    </row>
    <row r="12" spans="1:3" ht="12" customHeight="1">
      <c r="A12" s="266"/>
      <c r="B12" s="29">
        <v>138569.98000000001</v>
      </c>
      <c r="C12" s="30">
        <v>492.77368271203244</v>
      </c>
    </row>
    <row r="13" spans="1:3" ht="12" customHeight="1">
      <c r="A13" s="8"/>
      <c r="B13" s="29"/>
      <c r="C13" s="30"/>
    </row>
    <row r="14" spans="1:3" ht="12" customHeight="1">
      <c r="A14" s="8"/>
      <c r="B14" s="147"/>
      <c r="C14" s="148"/>
    </row>
    <row r="15" spans="1:3" ht="12" customHeight="1">
      <c r="A15" s="266" t="s">
        <v>390</v>
      </c>
      <c r="B15" s="29"/>
      <c r="C15" s="28"/>
    </row>
    <row r="16" spans="1:3" ht="12" customHeight="1">
      <c r="A16" s="266"/>
      <c r="B16" s="29">
        <v>-110449.56999</v>
      </c>
      <c r="C16" s="20">
        <v>-392.77368271203244</v>
      </c>
    </row>
    <row r="17" spans="1:3" ht="12" customHeight="1">
      <c r="A17" s="8"/>
      <c r="B17" s="29"/>
      <c r="C17" s="20"/>
    </row>
    <row r="18" spans="1:3" ht="12" customHeight="1" thickBot="1">
      <c r="A18" s="70"/>
      <c r="B18" s="149"/>
      <c r="C18" s="150"/>
    </row>
    <row r="19" spans="1:3" ht="25" customHeight="1">
      <c r="A19" s="144" t="s">
        <v>377</v>
      </c>
      <c r="B19" s="145"/>
      <c r="C19" s="146"/>
    </row>
    <row r="20" spans="1:3" ht="12" customHeight="1">
      <c r="A20" s="266" t="s">
        <v>388</v>
      </c>
      <c r="B20" s="27"/>
      <c r="C20" s="28"/>
    </row>
    <row r="21" spans="1:3" ht="12" customHeight="1">
      <c r="A21" s="266"/>
      <c r="B21" s="29">
        <v>-45788.57</v>
      </c>
      <c r="C21" s="30">
        <v>100</v>
      </c>
    </row>
    <row r="22" spans="1:3" ht="12" customHeight="1">
      <c r="A22" s="8"/>
      <c r="B22" s="29"/>
      <c r="C22" s="30"/>
    </row>
    <row r="23" spans="1:3" ht="12" customHeight="1">
      <c r="A23" s="8"/>
      <c r="B23" s="147"/>
      <c r="C23" s="148"/>
    </row>
    <row r="24" spans="1:3" ht="12" customHeight="1">
      <c r="A24" s="266" t="s">
        <v>389</v>
      </c>
      <c r="B24" s="29"/>
      <c r="C24" s="28"/>
    </row>
    <row r="25" spans="1:3" ht="12" customHeight="1">
      <c r="A25" s="266"/>
      <c r="B25" s="29">
        <v>16472.349999999999</v>
      </c>
      <c r="C25" s="30">
        <v>-36</v>
      </c>
    </row>
    <row r="26" spans="1:3" ht="12" customHeight="1">
      <c r="A26" s="8"/>
      <c r="B26" s="29"/>
      <c r="C26" s="30"/>
    </row>
    <row r="27" spans="1:3" ht="12" customHeight="1">
      <c r="A27" s="8"/>
      <c r="B27" s="147"/>
      <c r="C27" s="148"/>
    </row>
    <row r="28" spans="1:3" ht="12" customHeight="1">
      <c r="A28" s="266" t="s">
        <v>390</v>
      </c>
      <c r="B28" s="29"/>
      <c r="C28" s="28"/>
    </row>
    <row r="29" spans="1:3" ht="12" customHeight="1">
      <c r="A29" s="266"/>
      <c r="B29" s="29">
        <v>-62260.92</v>
      </c>
      <c r="C29" s="20">
        <v>136</v>
      </c>
    </row>
    <row r="30" spans="1:3" ht="12" customHeight="1">
      <c r="A30" s="8"/>
      <c r="B30" s="29"/>
      <c r="C30" s="20"/>
    </row>
    <row r="31" spans="1:3" ht="12" customHeight="1" thickBot="1">
      <c r="A31" s="70"/>
      <c r="B31" s="149"/>
      <c r="C31" s="150"/>
    </row>
    <row r="32" spans="1:3" ht="12" customHeight="1">
      <c r="A32" s="16"/>
      <c r="B32" s="151"/>
      <c r="C32" s="152"/>
    </row>
    <row r="33" spans="1:24" ht="11.25" customHeight="1">
      <c r="A33" s="22" t="s">
        <v>391</v>
      </c>
      <c r="B33" s="14"/>
      <c r="C33" s="15"/>
      <c r="D33" s="14"/>
      <c r="E33" s="15"/>
      <c r="F33" s="14"/>
      <c r="G33" s="15"/>
      <c r="H33" s="14"/>
      <c r="I33" s="15"/>
      <c r="J33" s="14"/>
      <c r="K33" s="15"/>
    </row>
    <row r="34" spans="1:24" ht="11.9" customHeight="1">
      <c r="A34" s="13" t="s">
        <v>392</v>
      </c>
      <c r="B34" s="14"/>
      <c r="C34" s="15"/>
      <c r="D34" s="14"/>
      <c r="E34" s="15"/>
      <c r="F34" s="14"/>
      <c r="G34" s="15"/>
      <c r="H34" s="14"/>
      <c r="I34" s="15"/>
      <c r="J34" s="14"/>
      <c r="K34" s="15"/>
    </row>
    <row r="35" spans="1:24" ht="11.9" customHeight="1">
      <c r="A35" s="13" t="s">
        <v>429</v>
      </c>
      <c r="B35" s="14"/>
      <c r="C35" s="15"/>
      <c r="D35" s="14"/>
      <c r="E35" s="15"/>
      <c r="F35" s="14"/>
      <c r="G35" s="15"/>
      <c r="H35" s="14"/>
      <c r="I35" s="15"/>
      <c r="J35" s="14"/>
      <c r="K35" s="15"/>
    </row>
    <row r="36" spans="1:24" s="153" customFormat="1" ht="13.5" customHeight="1">
      <c r="A36" s="331" t="s">
        <v>430</v>
      </c>
      <c r="B36" s="330"/>
      <c r="C36" s="330"/>
      <c r="D36" s="330"/>
      <c r="E36" s="330"/>
      <c r="F36" s="330"/>
      <c r="G36" s="330"/>
      <c r="H36" s="330"/>
      <c r="I36" s="330"/>
      <c r="J36" s="330"/>
      <c r="K36" s="330"/>
      <c r="L36" s="330"/>
      <c r="M36" s="330"/>
      <c r="N36" s="330"/>
      <c r="O36" s="330"/>
      <c r="P36" s="330"/>
      <c r="Q36" s="330"/>
      <c r="R36" s="332"/>
      <c r="S36" s="332"/>
      <c r="T36" s="332"/>
      <c r="W36" s="154"/>
      <c r="X36" s="155"/>
    </row>
    <row r="37" spans="1:24" s="153" customFormat="1" ht="13.5" customHeight="1">
      <c r="A37" s="329"/>
      <c r="B37" s="330"/>
      <c r="C37" s="330"/>
      <c r="D37" s="330"/>
      <c r="E37" s="330"/>
      <c r="F37" s="330"/>
      <c r="G37" s="330"/>
      <c r="H37" s="330"/>
      <c r="I37" s="330"/>
      <c r="J37" s="330"/>
      <c r="K37" s="330"/>
      <c r="L37" s="330"/>
      <c r="M37" s="330"/>
      <c r="N37" s="330"/>
      <c r="O37" s="330"/>
      <c r="P37" s="330"/>
      <c r="Q37" s="330"/>
      <c r="R37" s="156"/>
      <c r="S37" s="156"/>
      <c r="T37" s="156"/>
      <c r="W37" s="154"/>
      <c r="X37" s="155"/>
    </row>
    <row r="38" spans="1:24" s="153" customFormat="1" ht="13.5" customHeight="1">
      <c r="A38" s="329"/>
      <c r="B38" s="330"/>
      <c r="C38" s="330"/>
      <c r="D38" s="330"/>
      <c r="E38" s="330"/>
      <c r="F38" s="330"/>
      <c r="G38" s="330"/>
      <c r="H38" s="330"/>
      <c r="I38" s="330"/>
      <c r="J38" s="330"/>
      <c r="K38" s="330"/>
      <c r="L38" s="330"/>
      <c r="M38" s="330"/>
      <c r="N38" s="330"/>
      <c r="O38" s="330"/>
      <c r="P38" s="330"/>
      <c r="Q38" s="330"/>
      <c r="R38" s="156"/>
      <c r="S38" s="156"/>
      <c r="T38" s="156"/>
      <c r="W38" s="154"/>
      <c r="X38" s="155"/>
    </row>
    <row r="39" spans="1:24" s="153" customFormat="1" ht="13.5" customHeight="1">
      <c r="A39" s="331"/>
      <c r="B39" s="330"/>
      <c r="C39" s="330"/>
      <c r="D39" s="330"/>
      <c r="E39" s="330"/>
      <c r="F39" s="330"/>
      <c r="G39" s="330"/>
      <c r="H39" s="330"/>
      <c r="I39" s="330"/>
      <c r="J39" s="330"/>
      <c r="K39" s="330"/>
      <c r="L39" s="330"/>
      <c r="M39" s="330"/>
      <c r="N39" s="330"/>
      <c r="O39" s="330"/>
      <c r="P39" s="330"/>
      <c r="Q39" s="330"/>
      <c r="R39" s="332"/>
      <c r="S39" s="332"/>
      <c r="T39" s="332"/>
      <c r="W39" s="154"/>
      <c r="X39" s="155"/>
    </row>
    <row r="40" spans="1:24" s="153" customFormat="1" ht="13.5" customHeight="1">
      <c r="A40" s="329"/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156"/>
      <c r="S40" s="156"/>
      <c r="T40" s="156"/>
      <c r="W40" s="154"/>
      <c r="X40" s="155"/>
    </row>
    <row r="41" spans="1:24" ht="11.9" customHeight="1">
      <c r="A41" s="13"/>
      <c r="B41" s="14"/>
      <c r="C41" s="15"/>
      <c r="D41" s="14"/>
      <c r="E41" s="15"/>
      <c r="F41" s="14"/>
      <c r="G41" s="15"/>
      <c r="H41" s="14"/>
      <c r="I41" s="15"/>
      <c r="J41" s="14"/>
      <c r="K41" s="15"/>
    </row>
    <row r="42" spans="1:24" ht="11.9" customHeight="1">
      <c r="A42" s="13"/>
      <c r="B42" s="14"/>
      <c r="C42" s="15"/>
      <c r="D42" s="14"/>
      <c r="E42" s="15"/>
      <c r="F42" s="14"/>
      <c r="G42" s="15"/>
      <c r="H42" s="14"/>
      <c r="I42" s="15"/>
      <c r="J42" s="14"/>
      <c r="K42" s="15"/>
    </row>
    <row r="43" spans="1:24" ht="11.9" customHeight="1">
      <c r="A43" s="13"/>
      <c r="B43" s="14"/>
      <c r="C43" s="15"/>
      <c r="D43" s="14"/>
      <c r="E43" s="15"/>
      <c r="F43" s="14"/>
      <c r="G43" s="15"/>
      <c r="H43" s="14"/>
      <c r="I43" s="15"/>
      <c r="J43" s="14"/>
      <c r="K43" s="15"/>
    </row>
    <row r="44" spans="1:24" ht="11.9" customHeight="1">
      <c r="A44" s="13"/>
      <c r="B44" s="14"/>
      <c r="C44" s="15"/>
      <c r="D44" s="14"/>
      <c r="E44" s="15"/>
      <c r="F44" s="14"/>
      <c r="G44" s="15"/>
      <c r="H44" s="14"/>
      <c r="I44" s="15"/>
      <c r="J44" s="14"/>
      <c r="K44" s="15"/>
    </row>
    <row r="45" spans="1:24" ht="11.9" customHeight="1">
      <c r="A45" s="13"/>
      <c r="B45" s="14"/>
      <c r="C45" s="15"/>
      <c r="D45" s="14"/>
      <c r="E45" s="15"/>
      <c r="F45" s="14"/>
      <c r="G45" s="15"/>
      <c r="H45" s="14"/>
      <c r="I45" s="15"/>
      <c r="J45" s="14"/>
      <c r="K45" s="15"/>
    </row>
    <row r="46" spans="1:24" ht="11.9" customHeight="1">
      <c r="A46" s="13"/>
      <c r="B46" s="14"/>
      <c r="C46" s="15"/>
      <c r="D46" s="14"/>
      <c r="E46" s="15"/>
      <c r="F46" s="14"/>
      <c r="G46" s="15"/>
      <c r="H46" s="14"/>
      <c r="I46" s="15"/>
      <c r="J46" s="14"/>
      <c r="K46" s="15"/>
    </row>
    <row r="47" spans="1:24" ht="11.9" customHeight="1">
      <c r="A47" s="13"/>
      <c r="B47" s="14"/>
      <c r="C47" s="15"/>
      <c r="D47" s="14"/>
      <c r="E47" s="15"/>
      <c r="F47" s="14"/>
      <c r="G47" s="15"/>
      <c r="H47" s="14"/>
      <c r="I47" s="15"/>
      <c r="J47" s="14"/>
      <c r="K47" s="15"/>
    </row>
    <row r="48" spans="1:24" ht="11.9" customHeight="1">
      <c r="A48" s="13"/>
      <c r="B48" s="14"/>
      <c r="C48" s="15"/>
      <c r="D48" s="14"/>
      <c r="E48" s="15"/>
      <c r="F48" s="14"/>
      <c r="G48" s="15"/>
      <c r="H48" s="14"/>
      <c r="I48" s="15"/>
      <c r="J48" s="14"/>
      <c r="K48" s="15"/>
    </row>
    <row r="49" spans="1:11" ht="11.9" customHeight="1">
      <c r="A49" s="13"/>
      <c r="B49" s="14"/>
      <c r="C49" s="15"/>
      <c r="D49" s="14"/>
      <c r="E49" s="15"/>
      <c r="F49" s="14"/>
      <c r="G49" s="15"/>
      <c r="H49" s="14"/>
      <c r="I49" s="15"/>
      <c r="J49" s="14"/>
      <c r="K49" s="15"/>
    </row>
    <row r="50" spans="1:11" ht="11.9" customHeight="1">
      <c r="A50" s="13"/>
      <c r="B50" s="14"/>
      <c r="C50" s="15"/>
      <c r="D50" s="14"/>
      <c r="E50" s="15"/>
      <c r="F50" s="14"/>
      <c r="G50" s="15"/>
      <c r="H50" s="14"/>
      <c r="I50" s="15"/>
      <c r="J50" s="14"/>
      <c r="K50" s="15"/>
    </row>
    <row r="51" spans="1:11" ht="11.9" customHeight="1">
      <c r="A51" s="13"/>
      <c r="B51" s="14"/>
      <c r="C51" s="15"/>
      <c r="D51" s="14"/>
      <c r="E51" s="15"/>
      <c r="F51" s="14"/>
      <c r="G51" s="15"/>
      <c r="H51" s="14"/>
      <c r="I51" s="15"/>
      <c r="J51" s="14"/>
      <c r="K51" s="15"/>
    </row>
    <row r="52" spans="1:11" ht="11.9" customHeight="1">
      <c r="A52" s="13"/>
      <c r="B52" s="14"/>
      <c r="C52" s="15"/>
      <c r="D52" s="14"/>
      <c r="E52" s="15"/>
      <c r="F52" s="14"/>
      <c r="G52" s="15"/>
      <c r="H52" s="14"/>
      <c r="I52" s="15"/>
      <c r="J52" s="14"/>
      <c r="K52" s="15"/>
    </row>
    <row r="53" spans="1:11" ht="11.9" customHeight="1"/>
    <row r="54" spans="1:11" ht="11.9" customHeight="1"/>
    <row r="55" spans="1:11" ht="11.9" customHeight="1"/>
    <row r="56" spans="1:11" ht="11.9" customHeight="1"/>
    <row r="57" spans="1:11" ht="11.9" customHeight="1"/>
    <row r="58" spans="1:11" ht="11.9" customHeight="1"/>
    <row r="59" spans="1:11" ht="11.9" customHeight="1"/>
    <row r="60" spans="1:11" ht="11.9" customHeight="1"/>
    <row r="61" spans="1:11" ht="11.9" customHeight="1"/>
    <row r="62" spans="1:11" ht="11.9" customHeight="1"/>
    <row r="63" spans="1:11" ht="11.9" customHeight="1"/>
    <row r="64" spans="1:11" ht="11.9" customHeight="1"/>
    <row r="65" ht="11.9" customHeight="1"/>
    <row r="66" ht="11.9" customHeight="1"/>
    <row r="67" ht="11.9" customHeight="1"/>
    <row r="68" ht="11.9" customHeight="1"/>
    <row r="69" ht="11.9" customHeight="1"/>
    <row r="70" ht="11.9" customHeight="1"/>
    <row r="71" ht="11.9" customHeight="1"/>
    <row r="72" ht="11.9" customHeight="1"/>
    <row r="73" ht="11.9" customHeight="1"/>
    <row r="74" ht="11.9" customHeight="1"/>
    <row r="75" ht="11.9" customHeight="1"/>
    <row r="76" ht="11.9" customHeight="1"/>
    <row r="77" ht="11.9" customHeight="1"/>
    <row r="78" ht="11.9" customHeight="1"/>
    <row r="79" ht="11.9" customHeight="1"/>
    <row r="80" ht="11.9" customHeight="1"/>
    <row r="95" spans="1:10">
      <c r="A95" s="17"/>
      <c r="B95" s="18"/>
      <c r="D95" s="18"/>
      <c r="F95" s="18"/>
      <c r="H95" s="18"/>
      <c r="J95" s="18"/>
    </row>
    <row r="96" spans="1:10">
      <c r="A96" s="13"/>
      <c r="B96" s="14"/>
      <c r="D96" s="14"/>
      <c r="F96" s="14"/>
      <c r="H96" s="14"/>
      <c r="J96" s="14"/>
    </row>
    <row r="97" spans="1:10">
      <c r="A97" s="15"/>
      <c r="B97" s="14"/>
      <c r="D97" s="14"/>
      <c r="F97" s="14"/>
      <c r="H97" s="14"/>
      <c r="J97" s="14"/>
    </row>
    <row r="98" spans="1:10">
      <c r="A98" s="15"/>
      <c r="B98" s="14"/>
      <c r="D98" s="14"/>
      <c r="F98" s="14"/>
      <c r="H98" s="14"/>
      <c r="J98" s="14"/>
    </row>
    <row r="99" spans="1:10">
      <c r="A99" s="15"/>
      <c r="B99" s="14"/>
      <c r="D99" s="14"/>
      <c r="F99" s="14"/>
      <c r="H99" s="14"/>
      <c r="J99" s="14"/>
    </row>
    <row r="100" spans="1:10">
      <c r="A100" s="15"/>
      <c r="B100" s="14"/>
      <c r="D100" s="14"/>
      <c r="F100" s="14"/>
      <c r="H100" s="14"/>
      <c r="J100" s="14"/>
    </row>
    <row r="101" spans="1:10">
      <c r="A101" s="15"/>
      <c r="B101" s="14"/>
      <c r="D101" s="14"/>
      <c r="F101" s="14"/>
      <c r="H101" s="14"/>
      <c r="J101" s="14"/>
    </row>
    <row r="102" spans="1:10">
      <c r="A102" s="15"/>
      <c r="B102" s="14"/>
      <c r="D102" s="14"/>
      <c r="F102" s="14"/>
      <c r="H102" s="14"/>
      <c r="J102" s="14"/>
    </row>
    <row r="103" spans="1:10">
      <c r="A103" s="13"/>
      <c r="B103" s="14"/>
      <c r="D103" s="14"/>
      <c r="F103" s="14"/>
      <c r="H103" s="14"/>
      <c r="J103" s="14"/>
    </row>
    <row r="104" spans="1:10">
      <c r="A104" s="13"/>
      <c r="B104" s="14"/>
      <c r="D104" s="14"/>
      <c r="F104" s="14"/>
      <c r="H104" s="14"/>
      <c r="J104" s="14"/>
    </row>
    <row r="105" spans="1:10">
      <c r="A105" s="13"/>
      <c r="B105" s="14"/>
      <c r="D105" s="14"/>
      <c r="F105" s="14"/>
      <c r="H105" s="14"/>
      <c r="J105" s="14"/>
    </row>
    <row r="106" spans="1:10">
      <c r="A106" s="13"/>
      <c r="B106" s="14"/>
      <c r="D106" s="14"/>
      <c r="F106" s="14"/>
      <c r="H106" s="14"/>
      <c r="J106" s="14"/>
    </row>
    <row r="107" spans="1:10">
      <c r="A107" s="13"/>
      <c r="B107" s="14"/>
      <c r="D107" s="14"/>
      <c r="F107" s="14"/>
      <c r="H107" s="14"/>
      <c r="J107" s="14"/>
    </row>
    <row r="108" spans="1:10">
      <c r="A108" s="13"/>
      <c r="B108" s="14"/>
      <c r="D108" s="14"/>
      <c r="F108" s="14"/>
      <c r="H108" s="14"/>
      <c r="J108" s="14"/>
    </row>
    <row r="109" spans="1:10">
      <c r="A109" s="13"/>
      <c r="B109" s="14"/>
      <c r="D109" s="14"/>
      <c r="F109" s="14"/>
      <c r="H109" s="14"/>
      <c r="J109" s="14"/>
    </row>
    <row r="110" spans="1:10">
      <c r="A110" s="15"/>
      <c r="B110" s="14"/>
      <c r="D110" s="14"/>
      <c r="F110" s="14"/>
      <c r="H110" s="14"/>
      <c r="J110" s="14"/>
    </row>
    <row r="111" spans="1:10">
      <c r="A111" s="15"/>
      <c r="B111" s="14"/>
      <c r="D111" s="14"/>
      <c r="F111" s="14"/>
      <c r="H111" s="14"/>
      <c r="J111" s="14"/>
    </row>
  </sheetData>
  <mergeCells count="13">
    <mergeCell ref="A28:A29"/>
    <mergeCell ref="A11:A12"/>
    <mergeCell ref="A15:A16"/>
    <mergeCell ref="A40:Q40"/>
    <mergeCell ref="A36:T36"/>
    <mergeCell ref="A37:Q37"/>
    <mergeCell ref="A38:Q38"/>
    <mergeCell ref="A39:T39"/>
    <mergeCell ref="B4:C4"/>
    <mergeCell ref="A7:A8"/>
    <mergeCell ref="A4:A5"/>
    <mergeCell ref="A20:A21"/>
    <mergeCell ref="A24:A25"/>
  </mergeCells>
  <phoneticPr fontId="1"/>
  <pageMargins left="0.75" right="0.75" top="1" bottom="1" header="0.51200000000000001" footer="0.51200000000000001"/>
  <pageSetup paperSize="9" scale="70" orientation="landscape" horizontalDpi="300" verticalDpi="3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0309-8437-4A25-AC76-B64CC6E32417}">
  <dimension ref="A1:AG48"/>
  <sheetViews>
    <sheetView view="pageBreakPreview" zoomScaleNormal="160" zoomScaleSheetLayoutView="130" workbookViewId="0">
      <selection sqref="A1:AD1"/>
    </sheetView>
  </sheetViews>
  <sheetFormatPr defaultColWidth="8" defaultRowHeight="13"/>
  <cols>
    <col min="1" max="7" width="0.6328125" style="153" customWidth="1"/>
    <col min="8" max="8" width="1.6328125" style="153" customWidth="1"/>
    <col min="9" max="12" width="0.6328125" style="153" customWidth="1"/>
    <col min="13" max="13" width="22.36328125" style="153" customWidth="1"/>
    <col min="14" max="14" width="0.6328125" style="153" customWidth="1"/>
    <col min="15" max="15" width="8.90625" style="215" hidden="1" customWidth="1"/>
    <col min="16" max="16" width="6.453125" style="216" hidden="1" customWidth="1"/>
    <col min="17" max="17" width="8.90625" style="215" hidden="1" customWidth="1"/>
    <col min="18" max="18" width="6.453125" style="216" hidden="1" customWidth="1"/>
    <col min="19" max="19" width="8.90625" style="215" hidden="1" customWidth="1"/>
    <col min="20" max="20" width="6.453125" style="216" hidden="1" customWidth="1"/>
    <col min="21" max="21" width="8.90625" style="215" hidden="1" customWidth="1"/>
    <col min="22" max="22" width="6.453125" style="216" hidden="1" customWidth="1"/>
    <col min="23" max="23" width="8.90625" style="215" customWidth="1"/>
    <col min="24" max="24" width="6.453125" style="216" customWidth="1"/>
    <col min="25" max="25" width="6.6328125" style="153" customWidth="1"/>
    <col min="26" max="26" width="6.453125" style="153" customWidth="1"/>
    <col min="27" max="27" width="6.6328125" style="153" customWidth="1"/>
    <col min="28" max="29" width="6.453125" style="153" customWidth="1"/>
    <col min="30" max="30" width="17.6328125" style="153" customWidth="1"/>
    <col min="31" max="31" width="1.7265625" style="153" customWidth="1"/>
    <col min="32" max="32" width="4.453125" style="157" customWidth="1"/>
    <col min="33" max="33" width="3.90625" style="153" customWidth="1"/>
    <col min="34" max="73" width="10.26953125" style="153" customWidth="1"/>
    <col min="74" max="16384" width="8" style="153"/>
  </cols>
  <sheetData>
    <row r="1" spans="1:33" ht="18.75" customHeight="1">
      <c r="A1" s="333" t="s">
        <v>405</v>
      </c>
      <c r="B1" s="333"/>
      <c r="C1" s="333"/>
      <c r="D1" s="333"/>
      <c r="E1" s="333"/>
      <c r="F1" s="333"/>
      <c r="G1" s="333"/>
      <c r="H1" s="333"/>
      <c r="I1" s="333"/>
      <c r="J1" s="333"/>
      <c r="K1" s="333"/>
      <c r="L1" s="333"/>
      <c r="M1" s="333"/>
      <c r="N1" s="333"/>
      <c r="O1" s="333"/>
      <c r="P1" s="333"/>
      <c r="Q1" s="333"/>
      <c r="R1" s="333"/>
      <c r="S1" s="333"/>
      <c r="T1" s="333"/>
      <c r="U1" s="333"/>
      <c r="V1" s="333"/>
      <c r="W1" s="333"/>
      <c r="X1" s="333"/>
      <c r="Y1" s="333"/>
      <c r="Z1" s="333"/>
      <c r="AA1" s="333"/>
      <c r="AB1" s="333"/>
      <c r="AC1" s="333"/>
      <c r="AD1" s="333"/>
    </row>
    <row r="2" spans="1:33" ht="12.75" customHeight="1" thickBot="1">
      <c r="A2" s="158"/>
      <c r="B2" s="158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9"/>
      <c r="P2" s="160"/>
      <c r="Q2" s="159"/>
      <c r="R2" s="160"/>
      <c r="S2" s="159"/>
      <c r="T2" s="160"/>
      <c r="U2" s="159"/>
      <c r="V2" s="160"/>
      <c r="W2" s="159"/>
      <c r="X2" s="161" t="s">
        <v>373</v>
      </c>
      <c r="Y2" s="158"/>
      <c r="Z2" s="158"/>
      <c r="AA2" s="158"/>
      <c r="AB2" s="162"/>
      <c r="AC2" s="162"/>
      <c r="AD2" s="158"/>
    </row>
    <row r="3" spans="1:33" ht="10" customHeight="1" thickBot="1">
      <c r="A3" s="334" t="s">
        <v>36</v>
      </c>
      <c r="B3" s="334"/>
      <c r="C3" s="334"/>
      <c r="D3" s="334"/>
      <c r="E3" s="334"/>
      <c r="F3" s="334"/>
      <c r="G3" s="334"/>
      <c r="H3" s="334"/>
      <c r="I3" s="334"/>
      <c r="J3" s="334"/>
      <c r="K3" s="334"/>
      <c r="L3" s="334"/>
      <c r="M3" s="334"/>
      <c r="N3" s="334"/>
      <c r="O3" s="163">
        <v>2004</v>
      </c>
      <c r="P3" s="164"/>
      <c r="Q3" s="163">
        <v>2005</v>
      </c>
      <c r="R3" s="164"/>
      <c r="S3" s="163">
        <v>2006</v>
      </c>
      <c r="T3" s="164"/>
      <c r="U3" s="163">
        <v>2007</v>
      </c>
      <c r="V3" s="164"/>
      <c r="W3" s="163">
        <v>2008</v>
      </c>
      <c r="X3" s="165"/>
      <c r="Y3" s="166"/>
      <c r="Z3" s="166"/>
      <c r="AA3" s="166"/>
      <c r="AB3" s="166"/>
      <c r="AC3" s="166"/>
      <c r="AD3" s="166"/>
      <c r="AE3" s="154"/>
    </row>
    <row r="4" spans="1:33" ht="9.65" customHeight="1">
      <c r="A4" s="335"/>
      <c r="B4" s="335"/>
      <c r="C4" s="335"/>
      <c r="D4" s="335"/>
      <c r="E4" s="335"/>
      <c r="F4" s="335"/>
      <c r="G4" s="335"/>
      <c r="H4" s="335"/>
      <c r="I4" s="335"/>
      <c r="J4" s="335"/>
      <c r="K4" s="335"/>
      <c r="L4" s="335"/>
      <c r="M4" s="335"/>
      <c r="N4" s="335"/>
      <c r="O4" s="337"/>
      <c r="P4" s="339" t="s">
        <v>69</v>
      </c>
      <c r="Q4" s="337"/>
      <c r="R4" s="339" t="s">
        <v>69</v>
      </c>
      <c r="S4" s="337"/>
      <c r="T4" s="339" t="s">
        <v>69</v>
      </c>
      <c r="U4" s="337"/>
      <c r="V4" s="339" t="s">
        <v>69</v>
      </c>
      <c r="W4" s="337"/>
      <c r="X4" s="339" t="s">
        <v>69</v>
      </c>
      <c r="Y4" s="344"/>
      <c r="Z4" s="344"/>
      <c r="AA4" s="344"/>
      <c r="AB4" s="344"/>
      <c r="AC4" s="167"/>
      <c r="AD4" s="344"/>
      <c r="AE4" s="346"/>
      <c r="AF4" s="341"/>
      <c r="AG4" s="343"/>
    </row>
    <row r="5" spans="1:33" ht="7.5" customHeight="1" thickBot="1">
      <c r="A5" s="336"/>
      <c r="B5" s="336"/>
      <c r="C5" s="336"/>
      <c r="D5" s="336"/>
      <c r="E5" s="336"/>
      <c r="F5" s="336"/>
      <c r="G5" s="336"/>
      <c r="H5" s="336"/>
      <c r="I5" s="336"/>
      <c r="J5" s="336"/>
      <c r="K5" s="336"/>
      <c r="L5" s="336"/>
      <c r="M5" s="336"/>
      <c r="N5" s="336"/>
      <c r="O5" s="338"/>
      <c r="P5" s="340"/>
      <c r="Q5" s="338"/>
      <c r="R5" s="340"/>
      <c r="S5" s="338"/>
      <c r="T5" s="340"/>
      <c r="U5" s="338"/>
      <c r="V5" s="340"/>
      <c r="W5" s="338"/>
      <c r="X5" s="340"/>
      <c r="Y5" s="345"/>
      <c r="Z5" s="345"/>
      <c r="AA5" s="345"/>
      <c r="AB5" s="345"/>
      <c r="AC5" s="169"/>
      <c r="AD5" s="345"/>
      <c r="AE5" s="346"/>
      <c r="AF5" s="342"/>
      <c r="AG5" s="343"/>
    </row>
    <row r="6" spans="1:33" ht="30" customHeight="1">
      <c r="A6" s="170"/>
      <c r="B6" s="347" t="s">
        <v>385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172"/>
      <c r="O6" s="173"/>
      <c r="P6" s="174" t="s">
        <v>40</v>
      </c>
      <c r="Q6" s="173"/>
      <c r="R6" s="174" t="s">
        <v>40</v>
      </c>
      <c r="S6" s="173"/>
      <c r="T6" s="174" t="s">
        <v>40</v>
      </c>
      <c r="U6" s="173"/>
      <c r="V6" s="174" t="s">
        <v>40</v>
      </c>
      <c r="W6" s="173">
        <v>284826.15000000002</v>
      </c>
      <c r="X6" s="174" t="s">
        <v>40</v>
      </c>
      <c r="Y6" s="175"/>
      <c r="Z6" s="176"/>
      <c r="AA6" s="175"/>
      <c r="AB6" s="176"/>
      <c r="AC6" s="176"/>
      <c r="AD6" s="175"/>
      <c r="AE6" s="154"/>
      <c r="AF6" s="177"/>
    </row>
    <row r="7" spans="1:33" ht="11.25" customHeight="1">
      <c r="A7" s="170"/>
      <c r="B7" s="171"/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2"/>
      <c r="O7" s="178"/>
      <c r="P7" s="179" t="s">
        <v>375</v>
      </c>
      <c r="Q7" s="178"/>
      <c r="R7" s="179" t="s">
        <v>375</v>
      </c>
      <c r="S7" s="178"/>
      <c r="T7" s="179" t="s">
        <v>375</v>
      </c>
      <c r="U7" s="178"/>
      <c r="V7" s="179" t="s">
        <v>375</v>
      </c>
      <c r="W7" s="178">
        <v>286958.57</v>
      </c>
      <c r="X7" s="179" t="s">
        <v>375</v>
      </c>
      <c r="Y7" s="175"/>
      <c r="Z7" s="176"/>
      <c r="AA7" s="175"/>
      <c r="AB7" s="176"/>
      <c r="AC7" s="176"/>
      <c r="AD7" s="175"/>
      <c r="AE7" s="154"/>
      <c r="AF7" s="177"/>
    </row>
    <row r="8" spans="1:33" ht="15.65" customHeight="1">
      <c r="A8" s="170"/>
      <c r="B8" s="180"/>
      <c r="C8" s="180"/>
      <c r="D8" s="348" t="s">
        <v>377</v>
      </c>
      <c r="E8" s="349"/>
      <c r="F8" s="349"/>
      <c r="G8" s="349"/>
      <c r="H8" s="349"/>
      <c r="I8" s="349"/>
      <c r="J8" s="349"/>
      <c r="K8" s="349"/>
      <c r="L8" s="349"/>
      <c r="M8" s="349"/>
      <c r="N8" s="172"/>
      <c r="O8" s="182"/>
      <c r="P8" s="183" t="s">
        <v>40</v>
      </c>
      <c r="Q8" s="182"/>
      <c r="R8" s="183" t="s">
        <v>40</v>
      </c>
      <c r="S8" s="182"/>
      <c r="T8" s="183" t="s">
        <v>40</v>
      </c>
      <c r="U8" s="182"/>
      <c r="V8" s="183" t="s">
        <v>40</v>
      </c>
      <c r="W8" s="182">
        <v>9801.83</v>
      </c>
      <c r="X8" s="183" t="s">
        <v>40</v>
      </c>
      <c r="Y8" s="175"/>
      <c r="Z8" s="176"/>
      <c r="AA8" s="175"/>
      <c r="AB8" s="176"/>
      <c r="AC8" s="176"/>
      <c r="AD8" s="175"/>
      <c r="AE8" s="154"/>
      <c r="AF8" s="177"/>
    </row>
    <row r="9" spans="1:33" ht="15.65" customHeight="1">
      <c r="A9" s="170"/>
      <c r="B9" s="180"/>
      <c r="C9" s="180"/>
      <c r="D9" s="181"/>
      <c r="E9" s="181"/>
      <c r="F9" s="184"/>
      <c r="G9" s="184"/>
      <c r="H9" s="184"/>
      <c r="I9" s="184"/>
      <c r="J9" s="184"/>
      <c r="K9" s="184"/>
      <c r="L9" s="185"/>
      <c r="M9" s="185"/>
      <c r="N9" s="172"/>
      <c r="O9" s="178"/>
      <c r="P9" s="179" t="s">
        <v>375</v>
      </c>
      <c r="Q9" s="178"/>
      <c r="R9" s="179" t="s">
        <v>375</v>
      </c>
      <c r="S9" s="178"/>
      <c r="T9" s="179" t="s">
        <v>375</v>
      </c>
      <c r="U9" s="178"/>
      <c r="V9" s="179" t="s">
        <v>375</v>
      </c>
      <c r="W9" s="178">
        <v>7862.85</v>
      </c>
      <c r="X9" s="179" t="s">
        <v>375</v>
      </c>
      <c r="Y9" s="175"/>
      <c r="Z9" s="176"/>
      <c r="AA9" s="175"/>
      <c r="AB9" s="176"/>
      <c r="AC9" s="176"/>
      <c r="AD9" s="175"/>
      <c r="AE9" s="154"/>
      <c r="AF9" s="177"/>
    </row>
    <row r="10" spans="1:33" ht="15.65" customHeight="1">
      <c r="A10" s="170"/>
      <c r="B10" s="180"/>
      <c r="C10" s="180"/>
      <c r="D10" s="184"/>
      <c r="E10" s="184"/>
      <c r="F10" s="350" t="s">
        <v>378</v>
      </c>
      <c r="G10" s="350"/>
      <c r="H10" s="350"/>
      <c r="I10" s="350"/>
      <c r="J10" s="350"/>
      <c r="K10" s="350"/>
      <c r="L10" s="350"/>
      <c r="M10" s="350"/>
      <c r="N10" s="172"/>
      <c r="O10" s="187"/>
      <c r="P10" s="183" t="s">
        <v>40</v>
      </c>
      <c r="Q10" s="187"/>
      <c r="R10" s="183" t="s">
        <v>40</v>
      </c>
      <c r="S10" s="187"/>
      <c r="T10" s="183" t="s">
        <v>40</v>
      </c>
      <c r="U10" s="187"/>
      <c r="V10" s="183" t="s">
        <v>40</v>
      </c>
      <c r="W10" s="187">
        <v>10609.32</v>
      </c>
      <c r="X10" s="183" t="s">
        <v>40</v>
      </c>
      <c r="Y10" s="175"/>
      <c r="Z10" s="176"/>
      <c r="AA10" s="175"/>
      <c r="AB10" s="176"/>
      <c r="AC10" s="176"/>
      <c r="AD10" s="175"/>
      <c r="AE10" s="154"/>
      <c r="AF10" s="177"/>
    </row>
    <row r="11" spans="1:33" ht="15.65" customHeight="1">
      <c r="A11" s="170"/>
      <c r="B11" s="180"/>
      <c r="C11" s="180"/>
      <c r="D11" s="184"/>
      <c r="E11" s="184"/>
      <c r="F11" s="350" t="s">
        <v>379</v>
      </c>
      <c r="G11" s="350"/>
      <c r="H11" s="350"/>
      <c r="I11" s="350"/>
      <c r="J11" s="350"/>
      <c r="K11" s="350"/>
      <c r="L11" s="350"/>
      <c r="M11" s="350"/>
      <c r="N11" s="172"/>
      <c r="O11" s="187"/>
      <c r="P11" s="183" t="s">
        <v>40</v>
      </c>
      <c r="Q11" s="187"/>
      <c r="R11" s="183" t="s">
        <v>40</v>
      </c>
      <c r="S11" s="187"/>
      <c r="T11" s="183" t="s">
        <v>40</v>
      </c>
      <c r="U11" s="187"/>
      <c r="V11" s="183" t="s">
        <v>40</v>
      </c>
      <c r="W11" s="187">
        <v>-7381.24</v>
      </c>
      <c r="X11" s="183" t="s">
        <v>40</v>
      </c>
      <c r="Y11" s="175"/>
      <c r="Z11" s="176"/>
      <c r="AA11" s="175"/>
      <c r="AB11" s="176"/>
      <c r="AC11" s="176"/>
      <c r="AD11" s="175"/>
      <c r="AE11" s="154"/>
      <c r="AF11" s="177"/>
    </row>
    <row r="12" spans="1:33" ht="15.65" customHeight="1">
      <c r="A12" s="170"/>
      <c r="B12" s="180"/>
      <c r="C12" s="180"/>
      <c r="D12" s="184"/>
      <c r="E12" s="184"/>
      <c r="F12" s="350" t="s">
        <v>380</v>
      </c>
      <c r="G12" s="350"/>
      <c r="H12" s="350"/>
      <c r="I12" s="350"/>
      <c r="J12" s="350"/>
      <c r="K12" s="350"/>
      <c r="L12" s="350"/>
      <c r="M12" s="350"/>
      <c r="N12" s="172"/>
      <c r="O12" s="187"/>
      <c r="P12" s="183" t="s">
        <v>40</v>
      </c>
      <c r="Q12" s="187"/>
      <c r="R12" s="183" t="s">
        <v>40</v>
      </c>
      <c r="S12" s="187"/>
      <c r="T12" s="183" t="s">
        <v>40</v>
      </c>
      <c r="U12" s="187"/>
      <c r="V12" s="183" t="s">
        <v>40</v>
      </c>
      <c r="W12" s="187">
        <v>1876.91</v>
      </c>
      <c r="X12" s="183" t="s">
        <v>40</v>
      </c>
      <c r="Y12" s="175"/>
      <c r="Z12" s="176"/>
      <c r="AA12" s="175"/>
      <c r="AB12" s="176"/>
      <c r="AC12" s="176"/>
      <c r="AD12" s="175"/>
      <c r="AE12" s="154"/>
      <c r="AF12" s="177"/>
    </row>
    <row r="13" spans="1:33" ht="15.65" customHeight="1">
      <c r="A13" s="170"/>
      <c r="B13" s="180"/>
      <c r="C13" s="180"/>
      <c r="D13" s="184"/>
      <c r="E13" s="184"/>
      <c r="F13" s="350" t="s">
        <v>381</v>
      </c>
      <c r="G13" s="350"/>
      <c r="H13" s="350"/>
      <c r="I13" s="350"/>
      <c r="J13" s="350"/>
      <c r="K13" s="350"/>
      <c r="L13" s="350"/>
      <c r="M13" s="350"/>
      <c r="N13" s="172"/>
      <c r="O13" s="187"/>
      <c r="P13" s="183" t="s">
        <v>40</v>
      </c>
      <c r="Q13" s="187"/>
      <c r="R13" s="183" t="s">
        <v>40</v>
      </c>
      <c r="S13" s="187"/>
      <c r="T13" s="183" t="s">
        <v>40</v>
      </c>
      <c r="U13" s="187"/>
      <c r="V13" s="183" t="s">
        <v>40</v>
      </c>
      <c r="W13" s="187">
        <v>958.73</v>
      </c>
      <c r="X13" s="183" t="s">
        <v>40</v>
      </c>
      <c r="Y13" s="175"/>
      <c r="Z13" s="176"/>
      <c r="AA13" s="175"/>
      <c r="AB13" s="176"/>
      <c r="AC13" s="176"/>
      <c r="AD13" s="175"/>
      <c r="AE13" s="154"/>
      <c r="AF13" s="177"/>
    </row>
    <row r="14" spans="1:33" ht="15.65" customHeight="1">
      <c r="A14" s="170"/>
      <c r="B14" s="180"/>
      <c r="C14" s="180"/>
      <c r="D14" s="184"/>
      <c r="E14" s="184"/>
      <c r="F14" s="350" t="s">
        <v>382</v>
      </c>
      <c r="G14" s="350"/>
      <c r="H14" s="350"/>
      <c r="I14" s="350"/>
      <c r="J14" s="350"/>
      <c r="K14" s="350"/>
      <c r="L14" s="350"/>
      <c r="M14" s="350"/>
      <c r="N14" s="172"/>
      <c r="O14" s="187"/>
      <c r="P14" s="183" t="s">
        <v>40</v>
      </c>
      <c r="Q14" s="187"/>
      <c r="R14" s="183" t="s">
        <v>40</v>
      </c>
      <c r="S14" s="187"/>
      <c r="T14" s="183" t="s">
        <v>40</v>
      </c>
      <c r="U14" s="187"/>
      <c r="V14" s="183" t="s">
        <v>40</v>
      </c>
      <c r="W14" s="187">
        <v>2587.75</v>
      </c>
      <c r="X14" s="183" t="s">
        <v>40</v>
      </c>
      <c r="Y14" s="175"/>
      <c r="Z14" s="188"/>
      <c r="AA14" s="175"/>
      <c r="AB14" s="176"/>
      <c r="AC14" s="176"/>
      <c r="AD14" s="175"/>
      <c r="AE14" s="154"/>
      <c r="AF14" s="177"/>
    </row>
    <row r="15" spans="1:33" ht="15.65" customHeight="1">
      <c r="A15" s="170"/>
      <c r="B15" s="180"/>
      <c r="C15" s="180"/>
      <c r="D15" s="184"/>
      <c r="E15" s="184"/>
      <c r="F15" s="350" t="s">
        <v>383</v>
      </c>
      <c r="G15" s="350"/>
      <c r="H15" s="350"/>
      <c r="I15" s="350"/>
      <c r="J15" s="350"/>
      <c r="K15" s="350"/>
      <c r="L15" s="350"/>
      <c r="M15" s="350"/>
      <c r="N15" s="172"/>
      <c r="O15" s="187"/>
      <c r="P15" s="183" t="s">
        <v>40</v>
      </c>
      <c r="Q15" s="187"/>
      <c r="R15" s="183" t="s">
        <v>40</v>
      </c>
      <c r="S15" s="187"/>
      <c r="T15" s="183" t="s">
        <v>40</v>
      </c>
      <c r="U15" s="187"/>
      <c r="V15" s="183" t="s">
        <v>40</v>
      </c>
      <c r="W15" s="187">
        <v>685.92</v>
      </c>
      <c r="X15" s="183" t="s">
        <v>40</v>
      </c>
      <c r="Y15" s="175"/>
      <c r="Z15" s="176"/>
      <c r="AA15" s="175"/>
      <c r="AB15" s="176"/>
      <c r="AC15" s="176"/>
      <c r="AD15" s="175"/>
      <c r="AE15" s="154"/>
      <c r="AF15" s="177"/>
    </row>
    <row r="16" spans="1:33" ht="15.65" customHeight="1" thickBot="1">
      <c r="A16" s="189"/>
      <c r="B16" s="190"/>
      <c r="C16" s="190"/>
      <c r="D16" s="191"/>
      <c r="E16" s="191"/>
      <c r="F16" s="351" t="s">
        <v>384</v>
      </c>
      <c r="G16" s="351"/>
      <c r="H16" s="351"/>
      <c r="I16" s="351"/>
      <c r="J16" s="351"/>
      <c r="K16" s="351"/>
      <c r="L16" s="351"/>
      <c r="M16" s="351"/>
      <c r="N16" s="192"/>
      <c r="O16" s="193"/>
      <c r="P16" s="194" t="s">
        <v>40</v>
      </c>
      <c r="Q16" s="193"/>
      <c r="R16" s="194" t="s">
        <v>40</v>
      </c>
      <c r="S16" s="193"/>
      <c r="T16" s="194" t="s">
        <v>40</v>
      </c>
      <c r="U16" s="193"/>
      <c r="V16" s="194" t="s">
        <v>40</v>
      </c>
      <c r="W16" s="193">
        <v>464.44</v>
      </c>
      <c r="X16" s="194" t="s">
        <v>40</v>
      </c>
      <c r="Y16" s="175"/>
      <c r="Z16" s="176"/>
      <c r="AA16" s="175"/>
      <c r="AB16" s="176"/>
      <c r="AC16" s="176"/>
      <c r="AD16" s="175"/>
      <c r="AE16" s="154"/>
      <c r="AF16" s="177"/>
    </row>
    <row r="17" spans="1:32" ht="30.75" customHeight="1">
      <c r="A17" s="195"/>
      <c r="B17" s="352" t="s">
        <v>385</v>
      </c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172"/>
      <c r="O17" s="187"/>
      <c r="P17" s="183"/>
      <c r="Q17" s="187"/>
      <c r="R17" s="183"/>
      <c r="S17" s="187"/>
      <c r="T17" s="183"/>
      <c r="U17" s="187"/>
      <c r="V17" s="183"/>
      <c r="W17" s="187"/>
      <c r="X17" s="183"/>
      <c r="Y17" s="175"/>
      <c r="Z17" s="176"/>
      <c r="AA17" s="175"/>
      <c r="AB17" s="176"/>
      <c r="AC17" s="176"/>
      <c r="AD17" s="175"/>
      <c r="AE17" s="154"/>
      <c r="AF17" s="196"/>
    </row>
    <row r="18" spans="1:32" ht="26.15" customHeight="1">
      <c r="A18" s="195"/>
      <c r="B18" s="197"/>
      <c r="C18" s="197"/>
      <c r="D18" s="350" t="s">
        <v>85</v>
      </c>
      <c r="E18" s="354"/>
      <c r="F18" s="354"/>
      <c r="G18" s="354"/>
      <c r="H18" s="354"/>
      <c r="I18" s="354"/>
      <c r="J18" s="354"/>
      <c r="K18" s="354"/>
      <c r="L18" s="354"/>
      <c r="M18" s="354"/>
      <c r="N18" s="172"/>
      <c r="O18" s="187"/>
      <c r="P18" s="183"/>
      <c r="Q18" s="187"/>
      <c r="R18" s="183"/>
      <c r="S18" s="187"/>
      <c r="T18" s="183"/>
      <c r="U18" s="187"/>
      <c r="V18" s="183"/>
      <c r="W18" s="187"/>
      <c r="X18" s="183"/>
      <c r="Y18" s="175"/>
      <c r="Z18" s="176"/>
      <c r="AA18" s="175"/>
      <c r="AB18" s="176"/>
      <c r="AC18" s="176"/>
      <c r="AD18" s="175"/>
      <c r="AE18" s="154"/>
      <c r="AF18" s="199"/>
    </row>
    <row r="19" spans="1:32" ht="26.15" customHeight="1">
      <c r="A19" s="195"/>
      <c r="B19" s="197"/>
      <c r="C19" s="197"/>
      <c r="D19" s="186"/>
      <c r="E19" s="198"/>
      <c r="F19" s="354" t="s">
        <v>386</v>
      </c>
      <c r="G19" s="354"/>
      <c r="H19" s="354"/>
      <c r="I19" s="354"/>
      <c r="J19" s="354"/>
      <c r="K19" s="354"/>
      <c r="L19" s="354"/>
      <c r="M19" s="354"/>
      <c r="N19" s="172"/>
      <c r="O19" s="187"/>
      <c r="P19" s="183" t="s">
        <v>40</v>
      </c>
      <c r="Q19" s="187"/>
      <c r="R19" s="183" t="s">
        <v>40</v>
      </c>
      <c r="S19" s="187"/>
      <c r="T19" s="183" t="s">
        <v>40</v>
      </c>
      <c r="U19" s="187"/>
      <c r="V19" s="183" t="s">
        <v>40</v>
      </c>
      <c r="W19" s="187">
        <v>144733.03</v>
      </c>
      <c r="X19" s="183" t="s">
        <v>40</v>
      </c>
      <c r="Y19" s="175"/>
      <c r="Z19" s="176"/>
      <c r="AA19" s="175"/>
      <c r="AB19" s="176"/>
      <c r="AC19" s="176"/>
      <c r="AD19" s="175"/>
      <c r="AE19" s="154"/>
      <c r="AF19" s="199"/>
    </row>
    <row r="20" spans="1:32" ht="26.15" customHeight="1">
      <c r="A20" s="195"/>
      <c r="B20" s="197"/>
      <c r="C20" s="197"/>
      <c r="D20" s="186"/>
      <c r="E20" s="186"/>
      <c r="F20" s="354" t="s">
        <v>395</v>
      </c>
      <c r="G20" s="354"/>
      <c r="H20" s="354"/>
      <c r="I20" s="354"/>
      <c r="J20" s="354"/>
      <c r="K20" s="354"/>
      <c r="L20" s="354"/>
      <c r="M20" s="354"/>
      <c r="N20" s="172"/>
      <c r="O20" s="187"/>
      <c r="P20" s="183" t="s">
        <v>40</v>
      </c>
      <c r="Q20" s="187"/>
      <c r="R20" s="183" t="s">
        <v>40</v>
      </c>
      <c r="S20" s="187"/>
      <c r="T20" s="183" t="s">
        <v>40</v>
      </c>
      <c r="U20" s="187"/>
      <c r="V20" s="183" t="s">
        <v>40</v>
      </c>
      <c r="W20" s="187">
        <v>35714.410000000003</v>
      </c>
      <c r="X20" s="183" t="s">
        <v>40</v>
      </c>
      <c r="Y20" s="175"/>
      <c r="Z20" s="176"/>
      <c r="AA20" s="175"/>
      <c r="AB20" s="176"/>
      <c r="AC20" s="176"/>
      <c r="AD20" s="175"/>
      <c r="AE20" s="154"/>
      <c r="AF20" s="177"/>
    </row>
    <row r="21" spans="1:32" ht="26.15" customHeight="1">
      <c r="A21" s="195"/>
      <c r="B21" s="197"/>
      <c r="C21" s="197"/>
      <c r="D21" s="186"/>
      <c r="E21" s="198"/>
      <c r="F21" s="354" t="s">
        <v>396</v>
      </c>
      <c r="G21" s="354"/>
      <c r="H21" s="354"/>
      <c r="I21" s="354"/>
      <c r="J21" s="354"/>
      <c r="K21" s="354"/>
      <c r="L21" s="354"/>
      <c r="M21" s="354"/>
      <c r="N21" s="172"/>
      <c r="O21" s="187"/>
      <c r="P21" s="183" t="s">
        <v>40</v>
      </c>
      <c r="Q21" s="187"/>
      <c r="R21" s="183" t="s">
        <v>40</v>
      </c>
      <c r="S21" s="187"/>
      <c r="T21" s="183" t="s">
        <v>40</v>
      </c>
      <c r="U21" s="187"/>
      <c r="V21" s="183" t="s">
        <v>40</v>
      </c>
      <c r="W21" s="187">
        <v>76304.42</v>
      </c>
      <c r="X21" s="183" t="s">
        <v>40</v>
      </c>
      <c r="Y21" s="175"/>
      <c r="Z21" s="200"/>
      <c r="AA21" s="175"/>
      <c r="AB21" s="176"/>
      <c r="AC21" s="176"/>
      <c r="AD21" s="175"/>
      <c r="AE21" s="154"/>
      <c r="AF21" s="177"/>
    </row>
    <row r="22" spans="1:32" ht="26.15" customHeight="1" thickBot="1">
      <c r="A22" s="129"/>
      <c r="B22" s="130"/>
      <c r="C22" s="130"/>
      <c r="D22" s="130"/>
      <c r="E22" s="130"/>
      <c r="F22" s="324" t="s">
        <v>397</v>
      </c>
      <c r="G22" s="324"/>
      <c r="H22" s="324"/>
      <c r="I22" s="324"/>
      <c r="J22" s="324"/>
      <c r="K22" s="324"/>
      <c r="L22" s="324"/>
      <c r="M22" s="324"/>
      <c r="N22" s="135"/>
      <c r="O22" s="136"/>
      <c r="P22" s="137"/>
      <c r="Q22" s="136"/>
      <c r="R22" s="137"/>
      <c r="S22" s="136"/>
      <c r="T22" s="137"/>
      <c r="U22" s="136"/>
      <c r="V22" s="137"/>
      <c r="W22" s="122">
        <v>28074.29</v>
      </c>
      <c r="X22" s="123" t="s">
        <v>40</v>
      </c>
      <c r="Y22" s="175"/>
      <c r="Z22" s="200"/>
      <c r="AA22" s="175"/>
      <c r="AB22" s="176"/>
      <c r="AC22" s="176"/>
      <c r="AD22" s="175"/>
      <c r="AE22" s="154"/>
      <c r="AF22" s="201"/>
    </row>
    <row r="23" spans="1:32" ht="26.15" customHeight="1">
      <c r="A23" s="195"/>
      <c r="B23" s="352" t="s">
        <v>377</v>
      </c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172"/>
      <c r="O23" s="202"/>
      <c r="P23" s="203"/>
      <c r="Q23" s="202"/>
      <c r="R23" s="203"/>
      <c r="S23" s="202"/>
      <c r="T23" s="203"/>
      <c r="U23" s="202"/>
      <c r="V23" s="203"/>
      <c r="W23" s="202"/>
      <c r="X23" s="203"/>
      <c r="Y23" s="204"/>
      <c r="Z23" s="204"/>
      <c r="AA23" s="204"/>
      <c r="AB23" s="204"/>
      <c r="AC23" s="204"/>
      <c r="AD23" s="204"/>
      <c r="AE23" s="154"/>
      <c r="AF23" s="155"/>
    </row>
    <row r="24" spans="1:32" ht="26.15" customHeight="1">
      <c r="A24" s="195"/>
      <c r="B24" s="197"/>
      <c r="C24" s="197"/>
      <c r="D24" s="350" t="s">
        <v>85</v>
      </c>
      <c r="E24" s="354"/>
      <c r="F24" s="354"/>
      <c r="G24" s="354"/>
      <c r="H24" s="354"/>
      <c r="I24" s="354"/>
      <c r="J24" s="354"/>
      <c r="K24" s="354"/>
      <c r="L24" s="354"/>
      <c r="M24" s="354"/>
      <c r="N24" s="172"/>
      <c r="O24" s="202"/>
      <c r="P24" s="203"/>
      <c r="Q24" s="202"/>
      <c r="R24" s="203"/>
      <c r="S24" s="202"/>
      <c r="T24" s="203"/>
      <c r="U24" s="202"/>
      <c r="V24" s="203"/>
      <c r="W24" s="202"/>
      <c r="X24" s="203"/>
      <c r="Y24" s="204"/>
      <c r="Z24" s="204"/>
      <c r="AA24" s="204"/>
      <c r="AB24" s="204"/>
      <c r="AC24" s="204"/>
      <c r="AD24" s="204"/>
      <c r="AE24" s="154"/>
      <c r="AF24" s="155"/>
    </row>
    <row r="25" spans="1:32" ht="26.15" customHeight="1">
      <c r="A25" s="195"/>
      <c r="B25" s="197"/>
      <c r="C25" s="197"/>
      <c r="D25" s="186"/>
      <c r="E25" s="198"/>
      <c r="F25" s="354" t="s">
        <v>386</v>
      </c>
      <c r="G25" s="354"/>
      <c r="H25" s="354"/>
      <c r="I25" s="354"/>
      <c r="J25" s="354"/>
      <c r="K25" s="354"/>
      <c r="L25" s="354"/>
      <c r="M25" s="354"/>
      <c r="N25" s="172"/>
      <c r="O25" s="187"/>
      <c r="P25" s="183" t="s">
        <v>40</v>
      </c>
      <c r="Q25" s="187"/>
      <c r="R25" s="183" t="s">
        <v>40</v>
      </c>
      <c r="S25" s="187"/>
      <c r="T25" s="183" t="s">
        <v>40</v>
      </c>
      <c r="U25" s="187"/>
      <c r="V25" s="183" t="s">
        <v>40</v>
      </c>
      <c r="W25" s="187">
        <v>7840.69</v>
      </c>
      <c r="X25" s="183" t="s">
        <v>40</v>
      </c>
      <c r="Y25" s="205"/>
      <c r="Z25" s="205"/>
      <c r="AA25" s="205"/>
      <c r="AB25" s="205"/>
      <c r="AC25" s="205"/>
      <c r="AD25" s="205"/>
      <c r="AE25" s="154"/>
      <c r="AF25" s="155"/>
    </row>
    <row r="26" spans="1:32" ht="26.15" customHeight="1">
      <c r="A26" s="195"/>
      <c r="B26" s="197"/>
      <c r="C26" s="197"/>
      <c r="D26" s="186"/>
      <c r="E26" s="186"/>
      <c r="F26" s="354" t="s">
        <v>395</v>
      </c>
      <c r="G26" s="354"/>
      <c r="H26" s="354"/>
      <c r="I26" s="354"/>
      <c r="J26" s="354"/>
      <c r="K26" s="354"/>
      <c r="L26" s="354"/>
      <c r="M26" s="354"/>
      <c r="N26" s="172"/>
      <c r="O26" s="187"/>
      <c r="P26" s="183" t="s">
        <v>40</v>
      </c>
      <c r="Q26" s="187"/>
      <c r="R26" s="183" t="s">
        <v>40</v>
      </c>
      <c r="S26" s="187"/>
      <c r="T26" s="183" t="s">
        <v>40</v>
      </c>
      <c r="U26" s="187"/>
      <c r="V26" s="183" t="s">
        <v>40</v>
      </c>
      <c r="W26" s="187">
        <v>531.36</v>
      </c>
      <c r="X26" s="183" t="s">
        <v>40</v>
      </c>
      <c r="Y26" s="205"/>
      <c r="Z26" s="205"/>
      <c r="AA26" s="205"/>
      <c r="AB26" s="205"/>
      <c r="AC26" s="205"/>
      <c r="AD26" s="205"/>
      <c r="AE26" s="154"/>
      <c r="AF26" s="155"/>
    </row>
    <row r="27" spans="1:32" ht="26.15" customHeight="1">
      <c r="A27" s="195"/>
      <c r="B27" s="197"/>
      <c r="C27" s="197"/>
      <c r="D27" s="186"/>
      <c r="E27" s="198"/>
      <c r="F27" s="354" t="s">
        <v>396</v>
      </c>
      <c r="G27" s="354"/>
      <c r="H27" s="354"/>
      <c r="I27" s="354"/>
      <c r="J27" s="354"/>
      <c r="K27" s="354"/>
      <c r="L27" s="354"/>
      <c r="M27" s="354"/>
      <c r="N27" s="172"/>
      <c r="O27" s="187"/>
      <c r="P27" s="206" t="s">
        <v>40</v>
      </c>
      <c r="Q27" s="187"/>
      <c r="R27" s="183" t="s">
        <v>40</v>
      </c>
      <c r="S27" s="187"/>
      <c r="T27" s="183" t="s">
        <v>40</v>
      </c>
      <c r="U27" s="187"/>
      <c r="V27" s="183" t="s">
        <v>40</v>
      </c>
      <c r="W27" s="187">
        <v>665.13</v>
      </c>
      <c r="X27" s="183" t="s">
        <v>40</v>
      </c>
      <c r="Y27" s="188"/>
      <c r="Z27" s="188"/>
      <c r="AA27" s="188"/>
      <c r="AB27" s="188"/>
      <c r="AC27" s="188"/>
      <c r="AD27" s="188"/>
      <c r="AE27" s="154"/>
      <c r="AF27" s="155"/>
    </row>
    <row r="28" spans="1:32" ht="26.15" customHeight="1" thickBot="1">
      <c r="A28" s="129"/>
      <c r="B28" s="130"/>
      <c r="C28" s="130"/>
      <c r="D28" s="130"/>
      <c r="E28" s="130"/>
      <c r="F28" s="324" t="s">
        <v>397</v>
      </c>
      <c r="G28" s="324"/>
      <c r="H28" s="324"/>
      <c r="I28" s="324"/>
      <c r="J28" s="324"/>
      <c r="K28" s="324"/>
      <c r="L28" s="324"/>
      <c r="M28" s="324"/>
      <c r="N28" s="135"/>
      <c r="O28" s="136"/>
      <c r="P28" s="137"/>
      <c r="Q28" s="136"/>
      <c r="R28" s="137"/>
      <c r="S28" s="136"/>
      <c r="T28" s="137"/>
      <c r="U28" s="136"/>
      <c r="V28" s="137"/>
      <c r="W28" s="122">
        <v>764.65</v>
      </c>
      <c r="X28" s="123" t="s">
        <v>40</v>
      </c>
      <c r="Y28" s="188"/>
      <c r="Z28" s="188"/>
      <c r="AA28" s="188"/>
      <c r="AB28" s="188"/>
      <c r="AC28" s="188"/>
      <c r="AD28" s="188"/>
      <c r="AE28" s="154"/>
      <c r="AF28" s="155"/>
    </row>
    <row r="29" spans="1:32" ht="15.65" customHeight="1">
      <c r="A29" s="168"/>
      <c r="B29" s="168"/>
      <c r="C29" s="207"/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208"/>
      <c r="P29" s="209"/>
      <c r="Q29" s="208"/>
      <c r="R29" s="209"/>
      <c r="S29" s="208"/>
      <c r="T29" s="209"/>
      <c r="U29" s="208"/>
      <c r="V29" s="209"/>
      <c r="W29" s="208"/>
      <c r="X29" s="209"/>
      <c r="AE29" s="154"/>
      <c r="AF29" s="155"/>
    </row>
    <row r="30" spans="1:32" ht="13.5" customHeight="1">
      <c r="A30" s="357" t="s">
        <v>403</v>
      </c>
      <c r="B30" s="358"/>
      <c r="C30" s="358"/>
      <c r="D30" s="358"/>
      <c r="E30" s="358"/>
      <c r="F30" s="358"/>
      <c r="G30" s="168"/>
      <c r="H30" s="257" t="s">
        <v>431</v>
      </c>
      <c r="I30" s="359" t="s">
        <v>406</v>
      </c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252"/>
      <c r="Z30" s="252"/>
      <c r="AA30" s="252"/>
      <c r="AB30" s="252"/>
      <c r="AE30" s="154"/>
      <c r="AF30" s="155"/>
    </row>
    <row r="31" spans="1:32" ht="13.5" customHeight="1">
      <c r="A31" s="210"/>
      <c r="B31" s="211"/>
      <c r="C31" s="211"/>
      <c r="D31" s="211"/>
      <c r="E31" s="211"/>
      <c r="F31" s="211"/>
      <c r="G31" s="168"/>
      <c r="H31" s="258" t="s">
        <v>436</v>
      </c>
      <c r="I31" s="253" t="s">
        <v>407</v>
      </c>
      <c r="J31" s="251"/>
      <c r="K31" s="251"/>
      <c r="L31" s="251"/>
      <c r="M31" s="251"/>
      <c r="N31" s="251"/>
      <c r="O31" s="251"/>
      <c r="P31" s="251"/>
      <c r="Q31" s="251"/>
      <c r="R31" s="251"/>
      <c r="S31" s="251"/>
      <c r="T31" s="251"/>
      <c r="U31" s="251"/>
      <c r="V31" s="251"/>
      <c r="W31" s="251"/>
      <c r="X31" s="251"/>
      <c r="Y31" s="252"/>
      <c r="Z31" s="252"/>
      <c r="AA31" s="252"/>
      <c r="AB31" s="252"/>
      <c r="AE31" s="154"/>
      <c r="AF31" s="155"/>
    </row>
    <row r="32" spans="1:32" ht="13.5" customHeight="1">
      <c r="A32" s="168"/>
      <c r="B32" s="168"/>
      <c r="C32" s="207"/>
      <c r="D32" s="168"/>
      <c r="E32" s="168"/>
      <c r="F32" s="168"/>
      <c r="G32" s="168"/>
      <c r="H32" s="257" t="s">
        <v>437</v>
      </c>
      <c r="I32" s="363" t="s">
        <v>408</v>
      </c>
      <c r="J32" s="364"/>
      <c r="K32" s="364"/>
      <c r="L32" s="364"/>
      <c r="M32" s="364"/>
      <c r="N32" s="364"/>
      <c r="O32" s="364"/>
      <c r="P32" s="364"/>
      <c r="Q32" s="364"/>
      <c r="R32" s="364"/>
      <c r="S32" s="364"/>
      <c r="T32" s="364"/>
      <c r="U32" s="364"/>
      <c r="V32" s="364"/>
      <c r="W32" s="364"/>
      <c r="X32" s="364"/>
      <c r="Y32" s="300"/>
      <c r="Z32" s="300"/>
      <c r="AA32" s="300"/>
      <c r="AB32" s="300"/>
      <c r="AE32" s="154"/>
      <c r="AF32" s="155"/>
    </row>
    <row r="33" spans="1:32" ht="13.5" customHeight="1">
      <c r="A33" s="168"/>
      <c r="B33" s="168"/>
      <c r="C33" s="207"/>
      <c r="D33" s="168"/>
      <c r="E33" s="168"/>
      <c r="F33" s="168"/>
      <c r="G33" s="168"/>
      <c r="H33" s="257" t="s">
        <v>438</v>
      </c>
      <c r="I33" s="250" t="s">
        <v>442</v>
      </c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246"/>
      <c r="AA33" s="246"/>
      <c r="AB33" s="246"/>
      <c r="AE33" s="154"/>
      <c r="AF33" s="155"/>
    </row>
    <row r="34" spans="1:32" ht="13.5" customHeight="1">
      <c r="A34" s="168"/>
      <c r="B34" s="168"/>
      <c r="C34" s="207"/>
      <c r="D34" s="168"/>
      <c r="E34" s="168"/>
      <c r="F34" s="168"/>
      <c r="G34" s="168"/>
      <c r="H34" s="257" t="s">
        <v>439</v>
      </c>
      <c r="I34" s="244" t="s">
        <v>423</v>
      </c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255"/>
      <c r="AA34" s="255"/>
      <c r="AB34" s="255"/>
      <c r="AC34" s="245"/>
      <c r="AE34" s="154"/>
      <c r="AF34" s="155"/>
    </row>
    <row r="35" spans="1:32" ht="13.5" customHeight="1">
      <c r="A35" s="168"/>
      <c r="B35" s="168"/>
      <c r="C35" s="207"/>
      <c r="D35" s="168"/>
      <c r="E35" s="168"/>
      <c r="F35" s="168"/>
      <c r="G35" s="168"/>
      <c r="H35" s="257" t="s">
        <v>440</v>
      </c>
      <c r="I35" s="244" t="s">
        <v>424</v>
      </c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252"/>
      <c r="AA35" s="252"/>
      <c r="AB35" s="252"/>
      <c r="AE35" s="154"/>
      <c r="AF35" s="155"/>
    </row>
    <row r="36" spans="1:32" ht="13.5" customHeight="1">
      <c r="A36" s="168"/>
      <c r="B36" s="168"/>
      <c r="C36" s="207"/>
      <c r="D36" s="168"/>
      <c r="E36" s="168"/>
      <c r="F36" s="168"/>
      <c r="G36" s="168"/>
      <c r="H36" s="257"/>
      <c r="I36" s="327" t="s">
        <v>425</v>
      </c>
      <c r="J36" s="362"/>
      <c r="K36" s="362"/>
      <c r="L36" s="362"/>
      <c r="M36" s="362"/>
      <c r="N36" s="362"/>
      <c r="O36" s="362"/>
      <c r="P36" s="362"/>
      <c r="Q36" s="362"/>
      <c r="R36" s="362"/>
      <c r="S36" s="362"/>
      <c r="T36" s="362"/>
      <c r="U36" s="362"/>
      <c r="V36" s="362"/>
      <c r="W36" s="362"/>
      <c r="X36" s="362"/>
      <c r="Y36" s="362"/>
      <c r="Z36" s="300"/>
      <c r="AA36" s="300"/>
      <c r="AB36" s="300"/>
      <c r="AE36" s="154"/>
      <c r="AF36" s="155"/>
    </row>
    <row r="37" spans="1:32" ht="13.5" customHeight="1">
      <c r="A37" s="168"/>
      <c r="B37" s="168"/>
      <c r="C37" s="207"/>
      <c r="D37" s="168"/>
      <c r="E37" s="168"/>
      <c r="F37" s="168"/>
      <c r="G37" s="168"/>
      <c r="H37" s="257" t="s">
        <v>441</v>
      </c>
      <c r="I37" s="244" t="s">
        <v>426</v>
      </c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252"/>
      <c r="AA37" s="252"/>
      <c r="AB37" s="252"/>
      <c r="AE37" s="154"/>
      <c r="AF37" s="155"/>
    </row>
    <row r="38" spans="1:32" ht="13.5" customHeight="1">
      <c r="A38" s="168"/>
      <c r="B38" s="168"/>
      <c r="C38" s="213"/>
      <c r="D38" s="168"/>
      <c r="E38" s="168"/>
      <c r="F38" s="168"/>
      <c r="G38" s="168"/>
      <c r="H38" s="254"/>
      <c r="I38" s="363" t="s">
        <v>427</v>
      </c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00"/>
      <c r="Z38" s="300"/>
      <c r="AA38" s="300"/>
      <c r="AB38" s="300"/>
    </row>
    <row r="39" spans="1:32" ht="13.5" customHeight="1">
      <c r="A39" s="168"/>
      <c r="B39" s="168"/>
      <c r="C39" s="213"/>
      <c r="D39" s="168"/>
      <c r="E39" s="168"/>
      <c r="F39" s="168"/>
      <c r="G39" s="168"/>
      <c r="H39" s="212"/>
      <c r="I39" s="355"/>
      <c r="J39" s="356"/>
      <c r="K39" s="356"/>
      <c r="L39" s="356"/>
      <c r="M39" s="356"/>
      <c r="N39" s="356"/>
      <c r="O39" s="356"/>
      <c r="P39" s="356"/>
      <c r="Q39" s="356"/>
      <c r="R39" s="356"/>
      <c r="S39" s="356"/>
      <c r="T39" s="356"/>
      <c r="U39" s="356"/>
      <c r="V39" s="356"/>
      <c r="W39" s="356"/>
      <c r="X39" s="356"/>
      <c r="Y39" s="361"/>
      <c r="Z39" s="361"/>
      <c r="AA39" s="361"/>
      <c r="AB39" s="361"/>
    </row>
    <row r="40" spans="1:32" ht="13.5" customHeight="1">
      <c r="A40" s="168"/>
      <c r="B40" s="168"/>
      <c r="C40" s="213"/>
      <c r="D40" s="168"/>
      <c r="E40" s="168"/>
      <c r="F40" s="168"/>
      <c r="G40" s="168"/>
      <c r="I40" s="355"/>
      <c r="J40" s="356"/>
      <c r="K40" s="356"/>
      <c r="L40" s="356"/>
      <c r="M40" s="356"/>
      <c r="N40" s="356"/>
      <c r="O40" s="356"/>
      <c r="P40" s="356"/>
      <c r="Q40" s="356"/>
      <c r="R40" s="356"/>
      <c r="S40" s="356"/>
      <c r="T40" s="356"/>
      <c r="U40" s="356"/>
      <c r="V40" s="356"/>
      <c r="W40" s="356"/>
      <c r="X40" s="356"/>
      <c r="Y40" s="361"/>
      <c r="Z40" s="361"/>
      <c r="AA40" s="361"/>
      <c r="AB40" s="361"/>
    </row>
    <row r="41" spans="1:32" ht="13.5" customHeight="1">
      <c r="H41" s="212"/>
      <c r="I41" s="355"/>
      <c r="J41" s="356"/>
      <c r="K41" s="356"/>
      <c r="L41" s="356"/>
      <c r="M41" s="356"/>
      <c r="N41" s="356"/>
      <c r="O41" s="356"/>
      <c r="P41" s="356"/>
      <c r="Q41" s="356"/>
      <c r="R41" s="356"/>
      <c r="S41" s="356"/>
      <c r="T41" s="356"/>
      <c r="U41" s="356"/>
      <c r="V41" s="356"/>
      <c r="W41" s="356"/>
      <c r="X41" s="356"/>
      <c r="Y41" s="361"/>
      <c r="Z41" s="361"/>
      <c r="AA41" s="361"/>
      <c r="AB41" s="361"/>
    </row>
    <row r="42" spans="1:32" ht="13.5" customHeight="1">
      <c r="B42" s="153">
        <v>0</v>
      </c>
      <c r="H42" s="212"/>
      <c r="I42" s="355"/>
      <c r="J42" s="356"/>
      <c r="K42" s="356"/>
      <c r="L42" s="356"/>
      <c r="M42" s="356"/>
      <c r="N42" s="356"/>
      <c r="O42" s="356"/>
      <c r="P42" s="356"/>
      <c r="Q42" s="356"/>
      <c r="R42" s="356"/>
      <c r="S42" s="356"/>
      <c r="T42" s="356"/>
      <c r="U42" s="356"/>
      <c r="V42" s="356"/>
      <c r="W42" s="356"/>
      <c r="X42" s="356"/>
      <c r="Y42" s="361"/>
      <c r="Z42" s="361"/>
      <c r="AA42" s="361"/>
      <c r="AB42" s="361"/>
    </row>
    <row r="43" spans="1:32">
      <c r="H43" s="214"/>
      <c r="I43" s="355"/>
      <c r="J43" s="356"/>
      <c r="K43" s="356"/>
      <c r="L43" s="356"/>
      <c r="M43" s="356"/>
      <c r="N43" s="356"/>
      <c r="O43" s="356"/>
      <c r="P43" s="356"/>
      <c r="Q43" s="356"/>
      <c r="R43" s="356"/>
      <c r="S43" s="356"/>
      <c r="T43" s="356"/>
      <c r="U43" s="356"/>
      <c r="V43" s="356"/>
      <c r="W43" s="356"/>
      <c r="X43" s="356"/>
    </row>
    <row r="48" spans="1:32" ht="26.5" customHeight="1"/>
  </sheetData>
  <mergeCells count="51">
    <mergeCell ref="F25:M25"/>
    <mergeCell ref="F26:M26"/>
    <mergeCell ref="I42:AB42"/>
    <mergeCell ref="I36:AB36"/>
    <mergeCell ref="I38:AB38"/>
    <mergeCell ref="I32:AB32"/>
    <mergeCell ref="I39:AB39"/>
    <mergeCell ref="I40:AB40"/>
    <mergeCell ref="I41:AB41"/>
    <mergeCell ref="F20:M20"/>
    <mergeCell ref="F21:M21"/>
    <mergeCell ref="F22:M22"/>
    <mergeCell ref="F28:M28"/>
    <mergeCell ref="I43:X43"/>
    <mergeCell ref="F27:M27"/>
    <mergeCell ref="A30:F30"/>
    <mergeCell ref="I30:X30"/>
    <mergeCell ref="B23:M23"/>
    <mergeCell ref="D24:M24"/>
    <mergeCell ref="F14:M14"/>
    <mergeCell ref="F15:M15"/>
    <mergeCell ref="F16:M16"/>
    <mergeCell ref="B17:M17"/>
    <mergeCell ref="D18:M18"/>
    <mergeCell ref="F19:M19"/>
    <mergeCell ref="Y4:Y5"/>
    <mergeCell ref="Z4:Z5"/>
    <mergeCell ref="F10:M10"/>
    <mergeCell ref="F11:M11"/>
    <mergeCell ref="F12:M12"/>
    <mergeCell ref="F13:M13"/>
    <mergeCell ref="AF4:AF5"/>
    <mergeCell ref="AG4:AG5"/>
    <mergeCell ref="AD4:AD5"/>
    <mergeCell ref="AE4:AE5"/>
    <mergeCell ref="B6:M6"/>
    <mergeCell ref="D8:M8"/>
    <mergeCell ref="AA4:AA5"/>
    <mergeCell ref="AB4:AB5"/>
    <mergeCell ref="W4:W5"/>
    <mergeCell ref="X4:X5"/>
    <mergeCell ref="A1:AD1"/>
    <mergeCell ref="A3:N5"/>
    <mergeCell ref="O4:O5"/>
    <mergeCell ref="P4:P5"/>
    <mergeCell ref="Q4:Q5"/>
    <mergeCell ref="R4:R5"/>
    <mergeCell ref="S4:S5"/>
    <mergeCell ref="T4:T5"/>
    <mergeCell ref="U4:U5"/>
    <mergeCell ref="V4:V5"/>
  </mergeCells>
  <phoneticPr fontId="7"/>
  <pageMargins left="0.75" right="0.75" top="1" bottom="1" header="0.51200000000000001" footer="0.51200000000000001"/>
  <pageSetup paperSize="9" scale="64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1F0F-411C-40C7-87F4-BE31F4F98243}">
  <dimension ref="A1:V42"/>
  <sheetViews>
    <sheetView view="pageBreakPreview" zoomScaleNormal="115" workbookViewId="0">
      <selection sqref="A1:T1"/>
    </sheetView>
  </sheetViews>
  <sheetFormatPr defaultColWidth="8" defaultRowHeight="13"/>
  <cols>
    <col min="1" max="7" width="0.6328125" style="153" customWidth="1"/>
    <col min="8" max="8" width="1.6328125" style="153" customWidth="1"/>
    <col min="9" max="12" width="0.6328125" style="153" customWidth="1"/>
    <col min="13" max="13" width="23" style="153" customWidth="1"/>
    <col min="14" max="14" width="0.6328125" style="153" customWidth="1"/>
    <col min="15" max="18" width="18.6328125" style="158" hidden="1" customWidth="1"/>
    <col min="19" max="19" width="18.6328125" style="158" customWidth="1"/>
    <col min="20" max="20" width="15.08984375" style="158" customWidth="1"/>
    <col min="21" max="73" width="10.26953125" style="153" customWidth="1"/>
    <col min="74" max="16384" width="8" style="153"/>
  </cols>
  <sheetData>
    <row r="1" spans="1:20" s="217" customFormat="1" ht="18" customHeight="1">
      <c r="A1" s="377" t="s">
        <v>393</v>
      </c>
      <c r="B1" s="377"/>
      <c r="C1" s="377"/>
      <c r="D1" s="377"/>
      <c r="E1" s="377"/>
      <c r="F1" s="377"/>
      <c r="G1" s="377"/>
      <c r="H1" s="377"/>
      <c r="I1" s="377"/>
      <c r="J1" s="377"/>
      <c r="K1" s="377"/>
      <c r="L1" s="377"/>
      <c r="M1" s="377"/>
      <c r="N1" s="377"/>
      <c r="O1" s="377"/>
      <c r="P1" s="377"/>
      <c r="Q1" s="377"/>
      <c r="R1" s="377"/>
      <c r="S1" s="377"/>
      <c r="T1" s="377"/>
    </row>
    <row r="2" spans="1:20" ht="12" customHeight="1">
      <c r="A2" s="156"/>
      <c r="B2" s="156"/>
      <c r="C2" s="156"/>
      <c r="D2" s="156"/>
      <c r="E2" s="156"/>
      <c r="F2" s="156"/>
      <c r="G2" s="156"/>
      <c r="H2" s="156"/>
      <c r="I2" s="156"/>
      <c r="J2" s="156"/>
      <c r="K2" s="156"/>
      <c r="L2" s="156"/>
      <c r="M2" s="156"/>
      <c r="N2" s="156"/>
      <c r="O2" s="218"/>
      <c r="P2" s="218"/>
      <c r="Q2" s="218"/>
      <c r="R2" s="218"/>
      <c r="S2" s="219" t="s">
        <v>394</v>
      </c>
      <c r="T2" s="156"/>
    </row>
    <row r="3" spans="1:20" ht="10" customHeight="1">
      <c r="A3" s="378" t="s">
        <v>36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80"/>
      <c r="O3" s="220">
        <v>2004</v>
      </c>
      <c r="P3" s="221">
        <v>2005</v>
      </c>
      <c r="Q3" s="221">
        <v>2006</v>
      </c>
      <c r="R3" s="221">
        <v>2007</v>
      </c>
      <c r="S3" s="222">
        <v>2008</v>
      </c>
      <c r="T3" s="223"/>
    </row>
    <row r="4" spans="1:20" ht="9.65" customHeight="1">
      <c r="A4" s="381"/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3"/>
      <c r="O4" s="387"/>
      <c r="P4" s="389"/>
      <c r="Q4" s="389"/>
      <c r="R4" s="389"/>
      <c r="S4" s="391"/>
      <c r="T4" s="223"/>
    </row>
    <row r="5" spans="1:20" ht="7.5" customHeight="1">
      <c r="A5" s="384"/>
      <c r="B5" s="385"/>
      <c r="C5" s="385"/>
      <c r="D5" s="385"/>
      <c r="E5" s="385"/>
      <c r="F5" s="385"/>
      <c r="G5" s="385"/>
      <c r="H5" s="385"/>
      <c r="I5" s="385"/>
      <c r="J5" s="385"/>
      <c r="K5" s="385"/>
      <c r="L5" s="385"/>
      <c r="M5" s="385"/>
      <c r="N5" s="386"/>
      <c r="O5" s="388"/>
      <c r="P5" s="390"/>
      <c r="Q5" s="390"/>
      <c r="R5" s="390"/>
      <c r="S5" s="392"/>
      <c r="T5" s="224"/>
    </row>
    <row r="6" spans="1:20" ht="30" customHeight="1">
      <c r="A6" s="225"/>
      <c r="B6" s="393" t="s">
        <v>385</v>
      </c>
      <c r="C6" s="393"/>
      <c r="D6" s="393"/>
      <c r="E6" s="393"/>
      <c r="F6" s="393"/>
      <c r="G6" s="393"/>
      <c r="H6" s="393"/>
      <c r="I6" s="393"/>
      <c r="J6" s="393"/>
      <c r="K6" s="393"/>
      <c r="L6" s="393"/>
      <c r="M6" s="393"/>
      <c r="N6" s="226"/>
      <c r="O6" s="227" t="s">
        <v>40</v>
      </c>
      <c r="P6" s="227" t="s">
        <v>40</v>
      </c>
      <c r="Q6" s="227" t="s">
        <v>40</v>
      </c>
      <c r="R6" s="227" t="s">
        <v>40</v>
      </c>
      <c r="S6" s="242">
        <v>18.113495</v>
      </c>
      <c r="T6" s="228"/>
    </row>
    <row r="7" spans="1:20" ht="30" customHeight="1">
      <c r="A7" s="229"/>
      <c r="B7" s="393" t="s">
        <v>377</v>
      </c>
      <c r="C7" s="393"/>
      <c r="D7" s="393"/>
      <c r="E7" s="393"/>
      <c r="F7" s="393"/>
      <c r="G7" s="393"/>
      <c r="H7" s="393"/>
      <c r="I7" s="393"/>
      <c r="J7" s="393"/>
      <c r="K7" s="393"/>
      <c r="L7" s="393"/>
      <c r="M7" s="393"/>
      <c r="N7" s="230"/>
      <c r="O7" s="227" t="s">
        <v>40</v>
      </c>
      <c r="P7" s="227" t="s">
        <v>40</v>
      </c>
      <c r="Q7" s="227" t="s">
        <v>40</v>
      </c>
      <c r="R7" s="227" t="s">
        <v>40</v>
      </c>
      <c r="S7" s="242">
        <v>4.490532</v>
      </c>
      <c r="T7" s="228"/>
    </row>
    <row r="8" spans="1:20" ht="30" customHeight="1">
      <c r="A8" s="231"/>
      <c r="B8" s="394" t="s">
        <v>385</v>
      </c>
      <c r="C8" s="394"/>
      <c r="D8" s="394"/>
      <c r="E8" s="394"/>
      <c r="F8" s="394"/>
      <c r="G8" s="394"/>
      <c r="H8" s="394"/>
      <c r="I8" s="394"/>
      <c r="J8" s="394"/>
      <c r="K8" s="394"/>
      <c r="L8" s="394"/>
      <c r="M8" s="394"/>
      <c r="N8" s="226"/>
      <c r="O8" s="232"/>
      <c r="P8" s="232"/>
      <c r="Q8" s="232"/>
      <c r="R8" s="232"/>
      <c r="S8" s="243"/>
      <c r="T8" s="228"/>
    </row>
    <row r="9" spans="1:20" ht="30" customHeight="1">
      <c r="A9" s="231"/>
      <c r="B9" s="233"/>
      <c r="C9" s="395" t="s">
        <v>85</v>
      </c>
      <c r="D9" s="395"/>
      <c r="E9" s="395"/>
      <c r="F9" s="395"/>
      <c r="G9" s="395"/>
      <c r="H9" s="395"/>
      <c r="I9" s="395"/>
      <c r="J9" s="395"/>
      <c r="K9" s="395"/>
      <c r="L9" s="395"/>
      <c r="M9" s="395"/>
      <c r="N9" s="234"/>
      <c r="O9" s="232"/>
      <c r="P9" s="232"/>
      <c r="Q9" s="232"/>
      <c r="R9" s="232"/>
      <c r="S9" s="243"/>
      <c r="T9" s="228"/>
    </row>
    <row r="10" spans="1:20" ht="22.5" customHeight="1">
      <c r="A10" s="231"/>
      <c r="B10" s="233"/>
      <c r="C10" s="233"/>
      <c r="D10" s="233"/>
      <c r="E10" s="395" t="s">
        <v>386</v>
      </c>
      <c r="F10" s="395"/>
      <c r="G10" s="395"/>
      <c r="H10" s="395"/>
      <c r="I10" s="395"/>
      <c r="J10" s="395"/>
      <c r="K10" s="395"/>
      <c r="L10" s="395"/>
      <c r="M10" s="395"/>
      <c r="N10" s="234"/>
      <c r="O10" s="232" t="s">
        <v>40</v>
      </c>
      <c r="P10" s="232" t="s">
        <v>40</v>
      </c>
      <c r="Q10" s="232" t="s">
        <v>40</v>
      </c>
      <c r="R10" s="232" t="s">
        <v>40</v>
      </c>
      <c r="S10" s="243">
        <v>15.445005</v>
      </c>
      <c r="T10" s="228"/>
    </row>
    <row r="11" spans="1:20" ht="22.5" customHeight="1">
      <c r="A11" s="231"/>
      <c r="B11" s="233"/>
      <c r="C11" s="233"/>
      <c r="D11" s="233"/>
      <c r="E11" s="395" t="s">
        <v>395</v>
      </c>
      <c r="F11" s="395"/>
      <c r="G11" s="395"/>
      <c r="H11" s="395"/>
      <c r="I11" s="395"/>
      <c r="J11" s="395"/>
      <c r="K11" s="395"/>
      <c r="L11" s="395"/>
      <c r="M11" s="395"/>
      <c r="N11" s="234"/>
      <c r="O11" s="232" t="s">
        <v>40</v>
      </c>
      <c r="P11" s="232" t="s">
        <v>40</v>
      </c>
      <c r="Q11" s="232" t="s">
        <v>40</v>
      </c>
      <c r="R11" s="232" t="s">
        <v>40</v>
      </c>
      <c r="S11" s="243">
        <v>27.134122999999999</v>
      </c>
      <c r="T11" s="228"/>
    </row>
    <row r="12" spans="1:20" ht="22.5" customHeight="1">
      <c r="A12" s="231"/>
      <c r="B12" s="233"/>
      <c r="C12" s="233"/>
      <c r="D12" s="233"/>
      <c r="E12" s="395" t="s">
        <v>396</v>
      </c>
      <c r="F12" s="395"/>
      <c r="G12" s="395"/>
      <c r="H12" s="395"/>
      <c r="I12" s="395"/>
      <c r="J12" s="395"/>
      <c r="K12" s="395"/>
      <c r="L12" s="395"/>
      <c r="M12" s="395"/>
      <c r="N12" s="234"/>
      <c r="O12" s="232" t="s">
        <v>40</v>
      </c>
      <c r="P12" s="232" t="s">
        <v>40</v>
      </c>
      <c r="Q12" s="232" t="s">
        <v>40</v>
      </c>
      <c r="R12" s="232" t="s">
        <v>40</v>
      </c>
      <c r="S12" s="243">
        <v>27.997841000000001</v>
      </c>
      <c r="T12" s="228"/>
    </row>
    <row r="13" spans="1:20" ht="22.5" customHeight="1">
      <c r="A13" s="235"/>
      <c r="B13" s="236"/>
      <c r="C13" s="236"/>
      <c r="D13" s="236"/>
      <c r="E13" s="396" t="s">
        <v>397</v>
      </c>
      <c r="F13" s="396"/>
      <c r="G13" s="396"/>
      <c r="H13" s="396"/>
      <c r="I13" s="396"/>
      <c r="J13" s="396"/>
      <c r="K13" s="396"/>
      <c r="L13" s="396"/>
      <c r="M13" s="396"/>
      <c r="N13" s="237"/>
      <c r="O13" s="227"/>
      <c r="P13" s="227"/>
      <c r="Q13" s="227"/>
      <c r="R13" s="227"/>
      <c r="S13" s="242">
        <v>10.060072</v>
      </c>
      <c r="T13" s="228"/>
    </row>
    <row r="14" spans="1:20" ht="30" customHeight="1">
      <c r="A14" s="231"/>
      <c r="B14" s="395" t="s">
        <v>377</v>
      </c>
      <c r="C14" s="395"/>
      <c r="D14" s="395"/>
      <c r="E14" s="395"/>
      <c r="F14" s="395"/>
      <c r="G14" s="395"/>
      <c r="H14" s="395"/>
      <c r="I14" s="395"/>
      <c r="J14" s="395"/>
      <c r="K14" s="395"/>
      <c r="L14" s="395"/>
      <c r="M14" s="395"/>
      <c r="N14" s="234"/>
      <c r="O14" s="232"/>
      <c r="P14" s="232"/>
      <c r="Q14" s="232"/>
      <c r="R14" s="232"/>
      <c r="S14" s="243"/>
      <c r="T14" s="228"/>
    </row>
    <row r="15" spans="1:20" ht="30" customHeight="1">
      <c r="A15" s="231"/>
      <c r="B15" s="233"/>
      <c r="C15" s="395" t="s">
        <v>85</v>
      </c>
      <c r="D15" s="395"/>
      <c r="E15" s="395"/>
      <c r="F15" s="395"/>
      <c r="G15" s="395"/>
      <c r="H15" s="395"/>
      <c r="I15" s="395"/>
      <c r="J15" s="395"/>
      <c r="K15" s="395"/>
      <c r="L15" s="395"/>
      <c r="M15" s="395"/>
      <c r="N15" s="234"/>
      <c r="O15" s="232"/>
      <c r="P15" s="232"/>
      <c r="Q15" s="232"/>
      <c r="R15" s="232"/>
      <c r="S15" s="243"/>
      <c r="T15" s="228"/>
    </row>
    <row r="16" spans="1:20" ht="22.5" customHeight="1">
      <c r="A16" s="231"/>
      <c r="B16" s="233"/>
      <c r="C16" s="233"/>
      <c r="D16" s="233"/>
      <c r="E16" s="395" t="s">
        <v>386</v>
      </c>
      <c r="F16" s="395"/>
      <c r="G16" s="395"/>
      <c r="H16" s="395"/>
      <c r="I16" s="395"/>
      <c r="J16" s="395"/>
      <c r="K16" s="395"/>
      <c r="L16" s="395"/>
      <c r="M16" s="395"/>
      <c r="N16" s="234"/>
      <c r="O16" s="232" t="s">
        <v>40</v>
      </c>
      <c r="P16" s="232" t="s">
        <v>40</v>
      </c>
      <c r="Q16" s="232" t="s">
        <v>40</v>
      </c>
      <c r="R16" s="232" t="s">
        <v>40</v>
      </c>
      <c r="S16" s="243">
        <v>4.2912270000000001</v>
      </c>
      <c r="T16" s="228"/>
    </row>
    <row r="17" spans="1:22" ht="22.5" customHeight="1">
      <c r="A17" s="231"/>
      <c r="B17" s="233"/>
      <c r="C17" s="233"/>
      <c r="D17" s="233"/>
      <c r="E17" s="395" t="s">
        <v>395</v>
      </c>
      <c r="F17" s="395"/>
      <c r="G17" s="395"/>
      <c r="H17" s="395"/>
      <c r="I17" s="395"/>
      <c r="J17" s="395"/>
      <c r="K17" s="395"/>
      <c r="L17" s="395"/>
      <c r="M17" s="395"/>
      <c r="N17" s="234"/>
      <c r="O17" s="232" t="s">
        <v>40</v>
      </c>
      <c r="P17" s="232" t="s">
        <v>40</v>
      </c>
      <c r="Q17" s="232" t="s">
        <v>40</v>
      </c>
      <c r="R17" s="232" t="s">
        <v>40</v>
      </c>
      <c r="S17" s="243">
        <v>8.3254359999999998</v>
      </c>
      <c r="T17" s="228"/>
    </row>
    <row r="18" spans="1:22" ht="22.5" customHeight="1">
      <c r="A18" s="231"/>
      <c r="B18" s="233"/>
      <c r="C18" s="233"/>
      <c r="D18" s="233"/>
      <c r="E18" s="395" t="s">
        <v>396</v>
      </c>
      <c r="F18" s="395"/>
      <c r="G18" s="395"/>
      <c r="H18" s="395"/>
      <c r="I18" s="395"/>
      <c r="J18" s="395"/>
      <c r="K18" s="395"/>
      <c r="L18" s="395"/>
      <c r="M18" s="395"/>
      <c r="N18" s="234"/>
      <c r="O18" s="232" t="s">
        <v>40</v>
      </c>
      <c r="P18" s="232" t="s">
        <v>40</v>
      </c>
      <c r="Q18" s="232" t="s">
        <v>40</v>
      </c>
      <c r="R18" s="232" t="s">
        <v>40</v>
      </c>
      <c r="S18" s="243">
        <v>8.4494059999999998</v>
      </c>
      <c r="T18" s="228"/>
    </row>
    <row r="19" spans="1:22" ht="22.5" customHeight="1">
      <c r="A19" s="235"/>
      <c r="B19" s="236"/>
      <c r="C19" s="236"/>
      <c r="D19" s="236"/>
      <c r="E19" s="396" t="s">
        <v>397</v>
      </c>
      <c r="F19" s="396"/>
      <c r="G19" s="396"/>
      <c r="H19" s="396"/>
      <c r="I19" s="396"/>
      <c r="J19" s="396"/>
      <c r="K19" s="396"/>
      <c r="L19" s="396"/>
      <c r="M19" s="396"/>
      <c r="N19" s="238"/>
      <c r="O19" s="239"/>
      <c r="P19" s="239"/>
      <c r="Q19" s="239"/>
      <c r="R19" s="239"/>
      <c r="S19" s="242">
        <v>2.11971</v>
      </c>
      <c r="T19" s="240"/>
    </row>
    <row r="20" spans="1:22" ht="22.5" customHeight="1">
      <c r="M20" s="158"/>
      <c r="N20" s="188"/>
    </row>
    <row r="21" spans="1:22" ht="22.5" customHeight="1">
      <c r="A21" s="398" t="s">
        <v>443</v>
      </c>
      <c r="B21" s="399"/>
      <c r="C21" s="399"/>
      <c r="D21" s="399"/>
      <c r="E21" s="399"/>
      <c r="F21" s="399"/>
      <c r="G21" s="399"/>
      <c r="H21" s="399"/>
      <c r="I21" s="399"/>
      <c r="J21" s="399"/>
      <c r="K21" s="399"/>
      <c r="L21" s="399"/>
      <c r="M21" s="399"/>
      <c r="N21" s="188"/>
    </row>
    <row r="22" spans="1:22" ht="13.5" customHeight="1">
      <c r="A22" s="369" t="s">
        <v>444</v>
      </c>
      <c r="B22" s="370"/>
      <c r="C22" s="370"/>
      <c r="D22" s="370"/>
      <c r="E22" s="370"/>
      <c r="F22" s="370"/>
      <c r="G22" s="371"/>
      <c r="H22" s="372"/>
      <c r="I22" s="372"/>
      <c r="J22" s="372"/>
      <c r="K22" s="372"/>
      <c r="L22" s="372"/>
      <c r="M22" s="372"/>
      <c r="N22" s="154"/>
      <c r="O22" s="373" t="s">
        <v>398</v>
      </c>
      <c r="P22" s="374"/>
      <c r="Q22" s="375" t="s">
        <v>399</v>
      </c>
      <c r="R22" s="241"/>
      <c r="S22" s="397"/>
      <c r="T22" s="397"/>
      <c r="U22" s="365"/>
    </row>
    <row r="23" spans="1:22" ht="13.5" customHeight="1">
      <c r="A23" s="371"/>
      <c r="B23" s="371"/>
      <c r="C23" s="371"/>
      <c r="D23" s="371"/>
      <c r="E23" s="371"/>
      <c r="F23" s="371"/>
      <c r="G23" s="371"/>
      <c r="H23" s="372"/>
      <c r="I23" s="372"/>
      <c r="J23" s="372"/>
      <c r="K23" s="372"/>
      <c r="L23" s="372"/>
      <c r="M23" s="372"/>
      <c r="N23" s="154"/>
      <c r="O23" s="366" t="s">
        <v>400</v>
      </c>
      <c r="P23" s="367"/>
      <c r="Q23" s="375"/>
      <c r="R23" s="241"/>
      <c r="S23" s="368"/>
      <c r="T23" s="368"/>
      <c r="U23" s="365"/>
    </row>
    <row r="24" spans="1:22">
      <c r="A24" s="249" t="s">
        <v>445</v>
      </c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8"/>
      <c r="S24" s="248"/>
      <c r="T24" s="248"/>
      <c r="U24" s="248"/>
      <c r="V24" s="246"/>
    </row>
    <row r="25" spans="1:22">
      <c r="A25" s="400"/>
      <c r="B25" s="401"/>
      <c r="C25" s="401"/>
      <c r="D25" s="401"/>
      <c r="E25" s="401"/>
      <c r="F25" s="401"/>
      <c r="G25" s="401"/>
      <c r="H25" s="401"/>
      <c r="I25" s="401"/>
      <c r="J25" s="401"/>
      <c r="K25" s="401"/>
      <c r="L25" s="401"/>
      <c r="M25" s="401"/>
      <c r="N25" s="401"/>
      <c r="O25" s="401"/>
      <c r="P25" s="401"/>
      <c r="Q25" s="401"/>
      <c r="R25" s="402"/>
      <c r="S25" s="402"/>
      <c r="T25" s="402"/>
      <c r="U25" s="402"/>
    </row>
    <row r="26" spans="1:22">
      <c r="A26" s="400"/>
      <c r="B26" s="401"/>
      <c r="C26" s="401"/>
      <c r="D26" s="401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2"/>
      <c r="S26" s="402"/>
      <c r="T26" s="402"/>
      <c r="U26" s="402"/>
    </row>
    <row r="27" spans="1:22">
      <c r="A27" s="403"/>
      <c r="B27" s="401"/>
      <c r="C27" s="401"/>
      <c r="D27" s="401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2"/>
      <c r="S27" s="402"/>
      <c r="T27" s="402"/>
      <c r="U27" s="402"/>
    </row>
    <row r="28" spans="1:22">
      <c r="A28" s="400"/>
      <c r="B28" s="401"/>
      <c r="C28" s="401"/>
      <c r="D28" s="401"/>
      <c r="E28" s="401"/>
      <c r="F28" s="401"/>
      <c r="G28" s="401"/>
      <c r="H28" s="401"/>
      <c r="I28" s="401"/>
      <c r="J28" s="401"/>
      <c r="K28" s="401"/>
      <c r="L28" s="401"/>
      <c r="M28" s="401"/>
      <c r="N28" s="401"/>
      <c r="O28" s="401"/>
      <c r="P28" s="401"/>
      <c r="Q28" s="401"/>
      <c r="R28" s="402"/>
      <c r="S28" s="402"/>
      <c r="T28" s="402"/>
      <c r="U28" s="402"/>
    </row>
    <row r="29" spans="1:22">
      <c r="M29" s="158"/>
    </row>
    <row r="33" spans="1:21" ht="13.5" customHeight="1">
      <c r="A33" s="369" t="s">
        <v>444</v>
      </c>
      <c r="B33" s="370"/>
      <c r="C33" s="370"/>
      <c r="D33" s="370"/>
      <c r="E33" s="370"/>
      <c r="F33" s="370"/>
      <c r="G33" s="371"/>
      <c r="H33" s="372"/>
      <c r="I33" s="372"/>
      <c r="J33" s="372"/>
      <c r="K33" s="372"/>
      <c r="L33" s="372"/>
      <c r="M33" s="372"/>
      <c r="N33" s="154"/>
      <c r="O33" s="373" t="s">
        <v>398</v>
      </c>
      <c r="P33" s="374"/>
      <c r="Q33" s="375" t="s">
        <v>399</v>
      </c>
      <c r="R33" s="241"/>
      <c r="S33" s="376" t="s">
        <v>398</v>
      </c>
      <c r="T33" s="376"/>
      <c r="U33" s="365" t="s">
        <v>63</v>
      </c>
    </row>
    <row r="34" spans="1:21" ht="13.5" customHeight="1">
      <c r="A34" s="371"/>
      <c r="B34" s="371"/>
      <c r="C34" s="371"/>
      <c r="D34" s="371"/>
      <c r="E34" s="371"/>
      <c r="F34" s="371"/>
      <c r="G34" s="371"/>
      <c r="H34" s="372"/>
      <c r="I34" s="372"/>
      <c r="J34" s="372"/>
      <c r="K34" s="372"/>
      <c r="L34" s="372"/>
      <c r="M34" s="372"/>
      <c r="N34" s="154"/>
      <c r="O34" s="366" t="s">
        <v>400</v>
      </c>
      <c r="P34" s="367"/>
      <c r="Q34" s="375"/>
      <c r="R34" s="241"/>
      <c r="S34" s="368" t="s">
        <v>401</v>
      </c>
      <c r="T34" s="368"/>
      <c r="U34" s="365"/>
    </row>
    <row r="42" spans="1:21">
      <c r="B42" s="153">
        <v>0</v>
      </c>
    </row>
  </sheetData>
  <mergeCells count="40">
    <mergeCell ref="A25:U25"/>
    <mergeCell ref="A26:U26"/>
    <mergeCell ref="A27:U27"/>
    <mergeCell ref="A28:U28"/>
    <mergeCell ref="E18:M18"/>
    <mergeCell ref="E19:M19"/>
    <mergeCell ref="S22:T22"/>
    <mergeCell ref="U22:U23"/>
    <mergeCell ref="S23:T23"/>
    <mergeCell ref="A21:M21"/>
    <mergeCell ref="A22:M23"/>
    <mergeCell ref="O22:P22"/>
    <mergeCell ref="Q22:Q23"/>
    <mergeCell ref="O23:P23"/>
    <mergeCell ref="E12:M12"/>
    <mergeCell ref="B14:M14"/>
    <mergeCell ref="E13:M13"/>
    <mergeCell ref="C15:M15"/>
    <mergeCell ref="E16:M16"/>
    <mergeCell ref="E17:M17"/>
    <mergeCell ref="B6:M6"/>
    <mergeCell ref="B7:M7"/>
    <mergeCell ref="B8:M8"/>
    <mergeCell ref="C9:M9"/>
    <mergeCell ref="E10:M10"/>
    <mergeCell ref="E11:M11"/>
    <mergeCell ref="A1:T1"/>
    <mergeCell ref="A3:N5"/>
    <mergeCell ref="O4:O5"/>
    <mergeCell ref="P4:P5"/>
    <mergeCell ref="Q4:Q5"/>
    <mergeCell ref="R4:R5"/>
    <mergeCell ref="S4:S5"/>
    <mergeCell ref="U33:U34"/>
    <mergeCell ref="O34:P34"/>
    <mergeCell ref="S34:T34"/>
    <mergeCell ref="A33:M34"/>
    <mergeCell ref="O33:P33"/>
    <mergeCell ref="Q33:Q34"/>
    <mergeCell ref="S33:T33"/>
  </mergeCells>
  <phoneticPr fontId="7"/>
  <pageMargins left="0.75" right="0.75" top="1" bottom="1" header="0.51200000000000001" footer="0.51200000000000001"/>
  <pageSetup paperSize="9" scale="86" orientation="landscape" horizontalDpi="300" verticalDpi="300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4</vt:i4>
      </vt:variant>
    </vt:vector>
  </HeadingPairs>
  <TitlesOfParts>
    <vt:vector size="19" baseType="lpstr">
      <vt:lpstr>1</vt:lpstr>
      <vt:lpstr>2</vt:lpstr>
      <vt:lpstr>2-1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'11'!Print_Area</vt:lpstr>
      <vt:lpstr>'12'!Print_Area</vt:lpstr>
      <vt:lpstr>'13'!Print_Area</vt:lpstr>
      <vt:lpstr>'14'!Print_Area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Financial Statements of Corporations by Industry, annually 2008</dc:title>
  <dc:subject>Ministry of Finance , Policy Research Institute</dc:subject>
  <dc:creator/>
  <cp:lastModifiedBy>Paul B</cp:lastModifiedBy>
  <cp:lastPrinted>2009-09-02T11:56:33Z</cp:lastPrinted>
  <dcterms:created xsi:type="dcterms:W3CDTF">1997-01-08T22:48:59Z</dcterms:created>
  <dcterms:modified xsi:type="dcterms:W3CDTF">2026-04-16T11:40:58Z</dcterms:modified>
</cp:coreProperties>
</file>