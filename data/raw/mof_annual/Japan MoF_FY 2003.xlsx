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O ONE\Desktop\Portoflio Projects\Projects RAW\Project 2 Japan_Governance_Analysis\data\raw\mof_annual\"/>
    </mc:Choice>
  </mc:AlternateContent>
  <xr:revisionPtr revIDLastSave="0" documentId="8_{AED2DEFC-9DAF-4EF0-B45C-203C51756972}" xr6:coauthVersionLast="47" xr6:coauthVersionMax="47" xr10:uidLastSave="{00000000-0000-0000-0000-000000000000}"/>
  <bookViews>
    <workbookView xWindow="-110" yWindow="-110" windowWidth="19420" windowHeight="10300" xr2:uid="{6AFBB7A9-60F4-4580-B9B3-E17C2FC95886}"/>
  </bookViews>
  <sheets>
    <sheet name="Sales" sheetId="13" r:id="rId1"/>
    <sheet name="Current profits" sheetId="14" r:id="rId2"/>
    <sheet name="Operating income" sheetId="15" r:id="rId3"/>
    <sheet name="Ratios of OI" sheetId="16" r:id="rId4"/>
    <sheet name="Division of profits" sheetId="17" r:id="rId5"/>
    <sheet name="Value added" sheetId="18" r:id="rId6"/>
    <sheet name="Investment in plant " sheetId="19" r:id="rId7"/>
    <sheet name="Increases in inventories" sheetId="20" r:id="rId8"/>
    <sheet name="Financial items" sheetId="21" r:id="rId9"/>
    <sheet name="Raising of funds" sheetId="22" r:id="rId10"/>
    <sheet name="Ratio of net worth" sheetId="1" r:id="rId11"/>
  </sheets>
  <definedNames>
    <definedName name="_xlnm.Print_Area" localSheetId="1">'Current profits'!$A$1:$K$49</definedName>
    <definedName name="_xlnm.Print_Area" localSheetId="4">'Division of profits'!$A$1:$K$20</definedName>
    <definedName name="_xlnm.Print_Area" localSheetId="8">'Financial items'!$A$1:$K$26</definedName>
    <definedName name="_xlnm.Print_Area" localSheetId="7">'Increases in inventories'!$A$1:$F$40</definedName>
    <definedName name="_xlnm.Print_Area" localSheetId="6">'Investment in plant '!$A$1:$K$52</definedName>
    <definedName name="_xlnm.Print_Area" localSheetId="2">'Operating income'!$A$1:$K$20</definedName>
    <definedName name="_xlnm.Print_Area" localSheetId="9">'Raising of funds'!$A$1:$K$40</definedName>
    <definedName name="_xlnm.Print_Area" localSheetId="10">'Ratio of net worth'!$A$1:$F$27</definedName>
    <definedName name="_xlnm.Print_Area" localSheetId="3">'Ratios of OI'!$A$1:$K$47</definedName>
    <definedName name="_xlnm.Print_Area" localSheetId="0">Sales!$A$1:$K$47</definedName>
    <definedName name="_xlnm.Print_Area" localSheetId="5">'Value added'!$A$1:$K$37</definedName>
    <definedName name="_xlnm.Print_Titles" localSheetId="1">'Current profits'!$A:$A</definedName>
    <definedName name="_xlnm.Print_Titles" localSheetId="4">'Division of profits'!$A:$A</definedName>
    <definedName name="_xlnm.Print_Titles" localSheetId="8">'Financial items'!$A:$A</definedName>
    <definedName name="_xlnm.Print_Titles" localSheetId="7">'Increases in inventories'!$A:$A</definedName>
    <definedName name="_xlnm.Print_Titles" localSheetId="6">'Investment in plant '!$A:$A</definedName>
    <definedName name="_xlnm.Print_Titles" localSheetId="2">'Operating income'!$A:$A</definedName>
    <definedName name="_xlnm.Print_Titles" localSheetId="9">'Raising of funds'!$A:$A</definedName>
    <definedName name="_xlnm.Print_Titles" localSheetId="10">'Ratio of net worth'!$A:$A</definedName>
    <definedName name="_xlnm.Print_Titles" localSheetId="3">'Ratios of OI'!$A:$A</definedName>
    <definedName name="_xlnm.Print_Titles" localSheetId="0">Sales!$A:$A</definedName>
    <definedName name="_xlnm.Print_Titles" localSheetId="5">'Value added'!$A:$A</definedName>
  </definedNames>
  <calcPr calcId="191029" calcMode="manual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" i="17" l="1"/>
  <c r="K11" i="17"/>
  <c r="K9" i="17"/>
  <c r="K7" i="17"/>
  <c r="I13" i="17"/>
  <c r="I11" i="17"/>
  <c r="I9" i="17"/>
  <c r="I7" i="17"/>
  <c r="G13" i="17"/>
  <c r="G11" i="17"/>
  <c r="G9" i="17"/>
  <c r="G7" i="17"/>
  <c r="E7" i="17"/>
  <c r="C13" i="17"/>
  <c r="C11" i="17"/>
  <c r="C9" i="17"/>
  <c r="C7" i="17"/>
  <c r="K13" i="22"/>
  <c r="K7" i="22"/>
  <c r="I7" i="22"/>
  <c r="G11" i="22"/>
  <c r="G7" i="22"/>
  <c r="E7" i="22"/>
  <c r="C7" i="22"/>
  <c r="K17" i="18"/>
  <c r="K15" i="18"/>
  <c r="K13" i="18"/>
  <c r="K11" i="18"/>
  <c r="K9" i="18"/>
  <c r="K7" i="18"/>
  <c r="I17" i="18"/>
  <c r="I15" i="18"/>
  <c r="I13" i="18"/>
  <c r="I11" i="18"/>
  <c r="I9" i="18"/>
  <c r="I7" i="18"/>
  <c r="G17" i="18"/>
  <c r="G15" i="18"/>
  <c r="G13" i="18"/>
  <c r="G11" i="18"/>
  <c r="G9" i="18"/>
  <c r="G7" i="18"/>
  <c r="E17" i="18"/>
  <c r="E15" i="18"/>
  <c r="E13" i="18"/>
  <c r="E11" i="18"/>
  <c r="E9" i="18"/>
  <c r="E7" i="18"/>
  <c r="C17" i="18"/>
  <c r="C13" i="18"/>
  <c r="C11" i="18"/>
  <c r="C9" i="18"/>
  <c r="C7" i="18"/>
</calcChain>
</file>

<file path=xl/sharedStrings.xml><?xml version="1.0" encoding="utf-8"?>
<sst xmlns="http://schemas.openxmlformats.org/spreadsheetml/2006/main" count="233" uniqueCount="133">
  <si>
    <t>10.Ratio of net worth</t>
    <phoneticPr fontId="2"/>
  </si>
  <si>
    <t>(％)</t>
    <phoneticPr fontId="2"/>
  </si>
  <si>
    <t>Classification</t>
    <phoneticPr fontId="2"/>
  </si>
  <si>
    <t xml:space="preserve">Total </t>
    <phoneticPr fontId="2"/>
  </si>
  <si>
    <t xml:space="preserve">  Manufacturing</t>
    <phoneticPr fontId="2"/>
  </si>
  <si>
    <t xml:space="preserve">  Non-manufacturing</t>
    <phoneticPr fontId="2"/>
  </si>
  <si>
    <t>Corporations with capital of</t>
    <phoneticPr fontId="2"/>
  </si>
  <si>
    <t xml:space="preserve">  1 billion yen or over</t>
    <phoneticPr fontId="2"/>
  </si>
  <si>
    <t xml:space="preserve">  100 million to 1 billion yen</t>
    <phoneticPr fontId="2"/>
  </si>
  <si>
    <t xml:space="preserve">  10 to 100 million yen</t>
    <phoneticPr fontId="2"/>
  </si>
  <si>
    <t xml:space="preserve">  under 10 million yen</t>
    <phoneticPr fontId="2"/>
  </si>
  <si>
    <t>Financial Statements Statistics of Corporations by Industry,Annually</t>
    <phoneticPr fontId="2"/>
  </si>
  <si>
    <t>1.Sales</t>
    <phoneticPr fontId="2"/>
  </si>
  <si>
    <t>(100 million yen,％)</t>
    <phoneticPr fontId="2"/>
  </si>
  <si>
    <t>Percent
change</t>
    <phoneticPr fontId="2"/>
  </si>
  <si>
    <t>Total</t>
    <phoneticPr fontId="2"/>
  </si>
  <si>
    <t>　Manufacturing</t>
    <phoneticPr fontId="2"/>
  </si>
  <si>
    <t>　　Food</t>
    <phoneticPr fontId="2"/>
  </si>
  <si>
    <t>　　Publishing and printing</t>
    <phoneticPr fontId="2"/>
  </si>
  <si>
    <t>　　Chemicals</t>
    <phoneticPr fontId="2"/>
  </si>
  <si>
    <t>　　Metal products</t>
    <phoneticPr fontId="2"/>
  </si>
  <si>
    <t>　　General machinery</t>
    <phoneticPr fontId="2"/>
  </si>
  <si>
    <t>　　Electrical machinery</t>
    <phoneticPr fontId="2"/>
  </si>
  <si>
    <t>　　Transportation machinery</t>
    <phoneticPr fontId="2"/>
  </si>
  <si>
    <t>　Non-manufacturing</t>
    <phoneticPr fontId="2"/>
  </si>
  <si>
    <t>　　Construction</t>
    <phoneticPr fontId="2"/>
  </si>
  <si>
    <t>　　Wholesaling and retailing</t>
    <phoneticPr fontId="2"/>
  </si>
  <si>
    <t>　　Real estate</t>
    <phoneticPr fontId="2"/>
  </si>
  <si>
    <t>　　Transportation and communication</t>
    <phoneticPr fontId="2"/>
  </si>
  <si>
    <t>　　Electricity</t>
    <phoneticPr fontId="2"/>
  </si>
  <si>
    <t>　　Services</t>
    <phoneticPr fontId="2"/>
  </si>
  <si>
    <t>　1 billion yen or over</t>
    <phoneticPr fontId="2"/>
  </si>
  <si>
    <t>　100 million to 1 billion yen</t>
    <phoneticPr fontId="2"/>
  </si>
  <si>
    <t>　　　2.Current profits</t>
    <phoneticPr fontId="2"/>
  </si>
  <si>
    <t>*</t>
  </si>
  <si>
    <t>Note: * can not be compared because of the negative figure in the previous year.</t>
  </si>
  <si>
    <t>(reference)</t>
    <phoneticPr fontId="2"/>
  </si>
  <si>
    <t>　　　　　Operating income</t>
    <phoneticPr fontId="2"/>
  </si>
  <si>
    <t>3.Ratios of operating income and current profits to sales</t>
    <phoneticPr fontId="2"/>
  </si>
  <si>
    <t>Ratio of operating income to sales</t>
    <phoneticPr fontId="2"/>
  </si>
  <si>
    <t>Ratio of current profits to sales</t>
    <phoneticPr fontId="2"/>
  </si>
  <si>
    <t>Net profits for the period</t>
    <phoneticPr fontId="2"/>
  </si>
  <si>
    <t>Bonus for directors</t>
    <phoneticPr fontId="2"/>
  </si>
  <si>
    <t>Dividends</t>
    <phoneticPr fontId="2"/>
  </si>
  <si>
    <t>Internal reserves</t>
    <phoneticPr fontId="2"/>
  </si>
  <si>
    <t>Note : net profits for the period = current profits + special profits - special losses - corporation tax and inhabitants' tax</t>
    <phoneticPr fontId="2"/>
  </si>
  <si>
    <t>　　　　　4.Division of profits</t>
    <phoneticPr fontId="2"/>
  </si>
  <si>
    <t>Ratio of
component</t>
    <phoneticPr fontId="2"/>
  </si>
  <si>
    <t>Value added</t>
    <phoneticPr fontId="2"/>
  </si>
  <si>
    <t>Salaries and wages</t>
    <phoneticPr fontId="2"/>
  </si>
  <si>
    <t xml:space="preserve">Interest and discounting expenses </t>
    <phoneticPr fontId="2"/>
  </si>
  <si>
    <t>Rental or leasing expenses for fixed and liquid assets</t>
    <phoneticPr fontId="2"/>
  </si>
  <si>
    <t>Taxes and public charges</t>
    <phoneticPr fontId="2"/>
  </si>
  <si>
    <t>Net operating income</t>
    <phoneticPr fontId="2"/>
  </si>
  <si>
    <t>Ratio of value added</t>
  </si>
  <si>
    <t>Labor productivity(10 thousand yen)</t>
    <phoneticPr fontId="2"/>
  </si>
  <si>
    <t xml:space="preserve">Notes : 1.value added = salaries and wages + interest and discounting expenses   + rental or leasing expenses for fixed </t>
    <phoneticPr fontId="2"/>
  </si>
  <si>
    <t xml:space="preserve">                        and liquid assets + taxes and public charges + net operating income(operating income -interest and discounting expenses) </t>
    <phoneticPr fontId="2"/>
  </si>
  <si>
    <t xml:space="preserve">        2.net operating income = operating income - interest and discounting expenses </t>
    <phoneticPr fontId="2"/>
  </si>
  <si>
    <t xml:space="preserve">        3.ratio of value added =</t>
    <phoneticPr fontId="2"/>
  </si>
  <si>
    <t>value added</t>
  </si>
  <si>
    <t>×  100</t>
    <phoneticPr fontId="2"/>
  </si>
  <si>
    <t>sales</t>
  </si>
  <si>
    <t xml:space="preserve">        4.labor productivity =</t>
    <phoneticPr fontId="2"/>
  </si>
  <si>
    <t>value added</t>
    <phoneticPr fontId="2"/>
  </si>
  <si>
    <t>number of employees</t>
    <phoneticPr fontId="2"/>
  </si>
  <si>
    <t>　　　　5.Value added</t>
    <phoneticPr fontId="2"/>
  </si>
  <si>
    <t xml:space="preserve">6.Investment in plant and equipment </t>
    <phoneticPr fontId="2"/>
  </si>
  <si>
    <t>(100 million yen,％)</t>
    <phoneticPr fontId="2"/>
  </si>
  <si>
    <t>Classification</t>
    <phoneticPr fontId="2"/>
  </si>
  <si>
    <t>Total</t>
    <phoneticPr fontId="2"/>
  </si>
  <si>
    <t>　Manufacturing</t>
    <phoneticPr fontId="2"/>
  </si>
  <si>
    <t>　　Food</t>
    <phoneticPr fontId="2"/>
  </si>
  <si>
    <t>　　Publishing and printing</t>
    <phoneticPr fontId="2"/>
  </si>
  <si>
    <t>　　Chemicals</t>
    <phoneticPr fontId="2"/>
  </si>
  <si>
    <t>　　Metal products</t>
    <phoneticPr fontId="2"/>
  </si>
  <si>
    <t>　　General machinery</t>
    <phoneticPr fontId="2"/>
  </si>
  <si>
    <t>　　Electrical machinery</t>
    <phoneticPr fontId="2"/>
  </si>
  <si>
    <t>　　Transportation machinery</t>
    <phoneticPr fontId="2"/>
  </si>
  <si>
    <t>　Non-manufacturing</t>
    <phoneticPr fontId="2"/>
  </si>
  <si>
    <t>　　Construction</t>
    <phoneticPr fontId="2"/>
  </si>
  <si>
    <t>　　Wholesaling and retailing</t>
    <phoneticPr fontId="2"/>
  </si>
  <si>
    <t>　　Real estate</t>
    <phoneticPr fontId="2"/>
  </si>
  <si>
    <t>　　Transportation and communication</t>
    <phoneticPr fontId="2"/>
  </si>
  <si>
    <t>　　Electricity</t>
    <phoneticPr fontId="2"/>
  </si>
  <si>
    <t>　　Services</t>
    <phoneticPr fontId="2"/>
  </si>
  <si>
    <t>Corporations with capital of</t>
    <phoneticPr fontId="2"/>
  </si>
  <si>
    <t xml:space="preserve">  1 billion yen or over</t>
    <phoneticPr fontId="2"/>
  </si>
  <si>
    <t xml:space="preserve">  100 million to 1 billion yen</t>
    <phoneticPr fontId="2"/>
  </si>
  <si>
    <t xml:space="preserve">  10 to 100 million yen</t>
    <phoneticPr fontId="2"/>
  </si>
  <si>
    <t xml:space="preserve">  under 10 million yen</t>
    <phoneticPr fontId="2"/>
  </si>
  <si>
    <t>7.Increases in inventories</t>
    <phoneticPr fontId="2"/>
  </si>
  <si>
    <t xml:space="preserve">Total </t>
    <phoneticPr fontId="2"/>
  </si>
  <si>
    <t xml:space="preserve">  Finished goods and merchandise</t>
    <phoneticPr fontId="2"/>
  </si>
  <si>
    <t xml:space="preserve">  Goods in process</t>
    <phoneticPr fontId="2"/>
  </si>
  <si>
    <t xml:space="preserve">  Raw materials and goods in strange</t>
    <phoneticPr fontId="2"/>
  </si>
  <si>
    <t xml:space="preserve">Manufacturing </t>
    <phoneticPr fontId="2"/>
  </si>
  <si>
    <t xml:space="preserve">  Petroleum and coal products</t>
    <phoneticPr fontId="2"/>
  </si>
  <si>
    <t xml:space="preserve">  General machinery</t>
    <phoneticPr fontId="2"/>
  </si>
  <si>
    <t xml:space="preserve">  Electrical machinery</t>
    <phoneticPr fontId="2"/>
  </si>
  <si>
    <t xml:space="preserve">  Precision machinery</t>
    <phoneticPr fontId="2"/>
  </si>
  <si>
    <t>Non-manufacturing</t>
    <phoneticPr fontId="2"/>
  </si>
  <si>
    <t xml:space="preserve">  Construction</t>
    <phoneticPr fontId="2"/>
  </si>
  <si>
    <t xml:space="preserve">  Wholesales and retails</t>
    <phoneticPr fontId="2"/>
  </si>
  <si>
    <t xml:space="preserve">  Real estate</t>
    <phoneticPr fontId="2"/>
  </si>
  <si>
    <t>Ratio of inventories to sales</t>
    <phoneticPr fontId="2"/>
  </si>
  <si>
    <t>8.Financial items(total industry)</t>
    <phoneticPr fontId="2"/>
  </si>
  <si>
    <t>Percent
change</t>
    <phoneticPr fontId="2"/>
  </si>
  <si>
    <t>Bills and accounts receivable</t>
    <phoneticPr fontId="2"/>
  </si>
  <si>
    <t>Bills and accounts payable</t>
    <phoneticPr fontId="2"/>
  </si>
  <si>
    <t>Short-term borrowings</t>
    <phoneticPr fontId="2"/>
  </si>
  <si>
    <t>Long-term borrowings</t>
    <phoneticPr fontId="2"/>
  </si>
  <si>
    <t>Cash and deposits</t>
    <phoneticPr fontId="2"/>
  </si>
  <si>
    <t>Short-term securities</t>
    <phoneticPr fontId="2"/>
  </si>
  <si>
    <t>Liquidity ratio</t>
    <phoneticPr fontId="2"/>
  </si>
  <si>
    <t xml:space="preserve">                            cash and deposits + short-term securities(average of the beginning and the end of the quarter)</t>
    <phoneticPr fontId="2"/>
  </si>
  <si>
    <t>Note : liquidity ratio =                                                                                                          ×100</t>
    <phoneticPr fontId="2"/>
  </si>
  <si>
    <t xml:space="preserve">                                                                   sales</t>
    <phoneticPr fontId="2"/>
  </si>
  <si>
    <t>9.Raising of funds</t>
    <phoneticPr fontId="2"/>
  </si>
  <si>
    <t>(100 million yen,％)</t>
    <phoneticPr fontId="2"/>
  </si>
  <si>
    <t>Classification</t>
    <phoneticPr fontId="2"/>
  </si>
  <si>
    <t>　Raising of funds</t>
    <phoneticPr fontId="2"/>
  </si>
  <si>
    <t>　　External funds</t>
    <phoneticPr fontId="2"/>
  </si>
  <si>
    <t>　　　Capital increases</t>
    <phoneticPr fontId="2"/>
  </si>
  <si>
    <t>　　　Bond issues</t>
    <phoneticPr fontId="2"/>
  </si>
  <si>
    <t>　　　Long-term borrowings</t>
    <phoneticPr fontId="2"/>
  </si>
  <si>
    <t>　　　Short-term borrowings</t>
    <phoneticPr fontId="2"/>
  </si>
  <si>
    <t>　　Internal funds</t>
    <phoneticPr fontId="2"/>
  </si>
  <si>
    <t>　　　Internal reserves</t>
    <phoneticPr fontId="2"/>
  </si>
  <si>
    <t>　　　Depreciation expenses</t>
    <phoneticPr fontId="2"/>
  </si>
  <si>
    <t xml:space="preserve"> </t>
    <phoneticPr fontId="2"/>
  </si>
  <si>
    <t>*</t>
    <phoneticPr fontId="2"/>
  </si>
  <si>
    <t>*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</si>
</sst>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80" formatCode="#,##0.0_ "/>
    <numFmt numFmtId="181" formatCode="0.0_ "/>
    <numFmt numFmtId="182" formatCode="#,##0_ "/>
    <numFmt numFmtId="195" formatCode="#,##0.0;&quot;△ &quot;#,##0.0"/>
    <numFmt numFmtId="196" formatCode="#,##0;&quot;△ &quot;#,##0"/>
    <numFmt numFmtId="198" formatCode="#,##0.0_);[Red]\(#,##0.0\)"/>
  </numFmts>
  <fonts count="8">
    <font>
      <sz val="10"/>
      <name val="ＭＳ 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9"/>
      <name val="ＭＳ 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85">
    <xf numFmtId="0" fontId="0" fillId="0" borderId="0" xfId="0"/>
    <xf numFmtId="0" fontId="3" fillId="0" borderId="0" xfId="1" applyFont="1"/>
    <xf numFmtId="0" fontId="4" fillId="0" borderId="0" xfId="1" applyFont="1"/>
    <xf numFmtId="0" fontId="3" fillId="0" borderId="0" xfId="1" applyFont="1" applyAlignment="1">
      <alignment horizontal="right"/>
    </xf>
    <xf numFmtId="49" fontId="5" fillId="0" borderId="1" xfId="1" applyNumberFormat="1" applyFont="1" applyFill="1" applyBorder="1" applyAlignment="1">
      <alignment horizontal="center" vertical="center"/>
    </xf>
    <xf numFmtId="49" fontId="5" fillId="0" borderId="2" xfId="1" applyNumberFormat="1" applyFont="1" applyFill="1" applyBorder="1" applyAlignment="1">
      <alignment horizontal="center" vertical="center"/>
    </xf>
    <xf numFmtId="195" fontId="5" fillId="0" borderId="1" xfId="1" applyNumberFormat="1" applyFont="1" applyFill="1" applyBorder="1" applyAlignment="1">
      <alignment horizontal="center" shrinkToFit="1"/>
    </xf>
    <xf numFmtId="0" fontId="5" fillId="0" borderId="2" xfId="1" applyFont="1" applyBorder="1" applyAlignment="1">
      <alignment horizontal="left"/>
    </xf>
    <xf numFmtId="195" fontId="5" fillId="0" borderId="2" xfId="1" applyNumberFormat="1" applyFont="1" applyBorder="1" applyAlignment="1">
      <alignment horizontal="center" shrinkToFit="1"/>
    </xf>
    <xf numFmtId="195" fontId="5" fillId="0" borderId="3" xfId="1" applyNumberFormat="1" applyFont="1" applyBorder="1" applyAlignment="1">
      <alignment horizontal="center" shrinkToFit="1"/>
    </xf>
    <xf numFmtId="0" fontId="5" fillId="0" borderId="4" xfId="1" applyFont="1" applyBorder="1"/>
    <xf numFmtId="49" fontId="5" fillId="0" borderId="4" xfId="1" applyNumberFormat="1" applyFont="1" applyBorder="1" applyAlignment="1">
      <alignment horizontal="center"/>
    </xf>
    <xf numFmtId="0" fontId="5" fillId="0" borderId="0" xfId="1" applyFont="1" applyBorder="1"/>
    <xf numFmtId="49" fontId="5" fillId="0" borderId="0" xfId="1" applyNumberFormat="1" applyFont="1" applyBorder="1" applyAlignment="1">
      <alignment horizontal="center"/>
    </xf>
    <xf numFmtId="0" fontId="3" fillId="0" borderId="0" xfId="1" applyFont="1" applyBorder="1"/>
    <xf numFmtId="49" fontId="5" fillId="0" borderId="3" xfId="1" applyNumberFormat="1" applyFont="1" applyFill="1" applyBorder="1" applyAlignment="1">
      <alignment horizontal="center"/>
    </xf>
    <xf numFmtId="0" fontId="3" fillId="0" borderId="5" xfId="1" applyFont="1" applyBorder="1" applyAlignment="1">
      <alignment horizontal="center" wrapText="1"/>
    </xf>
    <xf numFmtId="182" fontId="5" fillId="0" borderId="1" xfId="1" applyNumberFormat="1" applyFont="1" applyFill="1" applyBorder="1" applyAlignment="1">
      <alignment shrinkToFit="1"/>
    </xf>
    <xf numFmtId="180" fontId="5" fillId="0" borderId="1" xfId="1" applyNumberFormat="1" applyFont="1" applyBorder="1" applyAlignment="1">
      <alignment shrinkToFit="1"/>
    </xf>
    <xf numFmtId="182" fontId="5" fillId="0" borderId="2" xfId="1" applyNumberFormat="1" applyFont="1" applyBorder="1" applyAlignment="1">
      <alignment shrinkToFit="1"/>
    </xf>
    <xf numFmtId="180" fontId="5" fillId="0" borderId="2" xfId="1" applyNumberFormat="1" applyFont="1" applyBorder="1" applyAlignment="1">
      <alignment shrinkToFit="1"/>
    </xf>
    <xf numFmtId="182" fontId="5" fillId="0" borderId="1" xfId="1" applyNumberFormat="1" applyFont="1" applyBorder="1" applyAlignment="1">
      <alignment shrinkToFit="1"/>
    </xf>
    <xf numFmtId="182" fontId="5" fillId="0" borderId="3" xfId="1" applyNumberFormat="1" applyFont="1" applyBorder="1" applyAlignment="1">
      <alignment shrinkToFit="1"/>
    </xf>
    <xf numFmtId="180" fontId="5" fillId="0" borderId="3" xfId="1" applyNumberFormat="1" applyFont="1" applyBorder="1" applyAlignment="1">
      <alignment shrinkToFit="1"/>
    </xf>
    <xf numFmtId="0" fontId="5" fillId="0" borderId="0" xfId="1" applyFont="1" applyBorder="1" applyAlignment="1">
      <alignment horizontal="left"/>
    </xf>
    <xf numFmtId="180" fontId="5" fillId="0" borderId="1" xfId="1" applyNumberFormat="1" applyFont="1" applyBorder="1" applyAlignment="1">
      <alignment horizontal="right" shrinkToFit="1"/>
    </xf>
    <xf numFmtId="180" fontId="5" fillId="0" borderId="2" xfId="1" applyNumberFormat="1" applyFont="1" applyBorder="1" applyAlignment="1">
      <alignment horizontal="right" shrinkToFit="1"/>
    </xf>
    <xf numFmtId="180" fontId="5" fillId="0" borderId="3" xfId="1" applyNumberFormat="1" applyFont="1" applyBorder="1" applyAlignment="1">
      <alignment horizontal="right" shrinkToFit="1"/>
    </xf>
    <xf numFmtId="49" fontId="5" fillId="0" borderId="0" xfId="1" applyNumberFormat="1" applyFont="1" applyBorder="1" applyAlignment="1">
      <alignment horizontal="left"/>
    </xf>
    <xf numFmtId="0" fontId="6" fillId="0" borderId="0" xfId="1" applyFont="1"/>
    <xf numFmtId="49" fontId="5" fillId="0" borderId="5" xfId="1" applyNumberFormat="1" applyFont="1" applyFill="1" applyBorder="1" applyAlignment="1">
      <alignment horizontal="center"/>
    </xf>
    <xf numFmtId="180" fontId="5" fillId="0" borderId="1" xfId="1" applyNumberFormat="1" applyFont="1" applyFill="1" applyBorder="1" applyAlignment="1">
      <alignment horizontal="center" shrinkToFit="1"/>
    </xf>
    <xf numFmtId="180" fontId="5" fillId="0" borderId="2" xfId="1" applyNumberFormat="1" applyFont="1" applyFill="1" applyBorder="1" applyAlignment="1">
      <alignment horizontal="center" shrinkToFit="1"/>
    </xf>
    <xf numFmtId="182" fontId="5" fillId="0" borderId="2" xfId="1" applyNumberFormat="1" applyFont="1" applyFill="1" applyBorder="1" applyAlignment="1">
      <alignment horizontal="right" shrinkToFit="1"/>
    </xf>
    <xf numFmtId="181" fontId="5" fillId="0" borderId="2" xfId="1" applyNumberFormat="1" applyFont="1" applyBorder="1" applyAlignment="1">
      <alignment horizontal="right" shrinkToFit="1"/>
    </xf>
    <xf numFmtId="182" fontId="5" fillId="0" borderId="2" xfId="1" applyNumberFormat="1" applyFont="1" applyBorder="1" applyAlignment="1">
      <alignment horizontal="right" shrinkToFit="1"/>
    </xf>
    <xf numFmtId="180" fontId="5" fillId="0" borderId="2" xfId="2" applyNumberFormat="1" applyFont="1" applyBorder="1" applyAlignment="1">
      <alignment horizontal="right" shrinkToFit="1"/>
    </xf>
    <xf numFmtId="182" fontId="5" fillId="0" borderId="3" xfId="1" applyNumberFormat="1" applyFont="1" applyBorder="1" applyAlignment="1">
      <alignment horizontal="right" shrinkToFit="1"/>
    </xf>
    <xf numFmtId="181" fontId="5" fillId="0" borderId="3" xfId="1" applyNumberFormat="1" applyFont="1" applyBorder="1" applyAlignment="1">
      <alignment horizontal="right" shrinkToFit="1"/>
    </xf>
    <xf numFmtId="182" fontId="5" fillId="0" borderId="1" xfId="1" applyNumberFormat="1" applyFont="1" applyFill="1" applyBorder="1" applyAlignment="1">
      <alignment horizontal="right" shrinkToFit="1"/>
    </xf>
    <xf numFmtId="0" fontId="5" fillId="0" borderId="2" xfId="1" applyFont="1" applyBorder="1" applyAlignment="1">
      <alignment horizontal="left" vertical="top" wrapText="1"/>
    </xf>
    <xf numFmtId="198" fontId="5" fillId="0" borderId="2" xfId="2" applyNumberFormat="1" applyFont="1" applyBorder="1" applyAlignment="1">
      <alignment horizontal="right" shrinkToFit="1"/>
    </xf>
    <xf numFmtId="0" fontId="7" fillId="0" borderId="1" xfId="1" applyFont="1" applyBorder="1" applyAlignment="1">
      <alignment horizontal="left"/>
    </xf>
    <xf numFmtId="195" fontId="3" fillId="0" borderId="6" xfId="1" applyNumberFormat="1" applyFont="1" applyBorder="1" applyAlignment="1">
      <alignment horizontal="right" shrinkToFit="1"/>
    </xf>
    <xf numFmtId="195" fontId="5" fillId="0" borderId="1" xfId="1" applyNumberFormat="1" applyFont="1" applyBorder="1" applyAlignment="1">
      <alignment horizontal="right" shrinkToFit="1"/>
    </xf>
    <xf numFmtId="180" fontId="5" fillId="0" borderId="7" xfId="1" applyNumberFormat="1" applyFont="1" applyBorder="1" applyAlignment="1">
      <alignment horizontal="right" shrinkToFit="1"/>
    </xf>
    <xf numFmtId="196" fontId="5" fillId="0" borderId="7" xfId="1" applyNumberFormat="1" applyFont="1" applyBorder="1" applyAlignment="1">
      <alignment horizontal="right" shrinkToFit="1"/>
    </xf>
    <xf numFmtId="196" fontId="5" fillId="0" borderId="2" xfId="1" applyNumberFormat="1" applyFont="1" applyBorder="1" applyAlignment="1">
      <alignment horizontal="right" shrinkToFit="1"/>
    </xf>
    <xf numFmtId="0" fontId="5" fillId="0" borderId="3" xfId="1" applyFont="1" applyBorder="1" applyAlignment="1">
      <alignment horizontal="left" vertical="top" wrapText="1"/>
    </xf>
    <xf numFmtId="182" fontId="5" fillId="0" borderId="8" xfId="1" applyNumberFormat="1" applyFont="1" applyBorder="1" applyAlignment="1">
      <alignment horizontal="right" shrinkToFit="1"/>
    </xf>
    <xf numFmtId="49" fontId="5" fillId="0" borderId="9" xfId="1" applyNumberFormat="1" applyFont="1" applyBorder="1" applyAlignment="1">
      <alignment horizontal="center"/>
    </xf>
    <xf numFmtId="182" fontId="5" fillId="0" borderId="2" xfId="1" applyNumberFormat="1" applyFont="1" applyFill="1" applyBorder="1" applyAlignment="1">
      <alignment shrinkToFit="1"/>
    </xf>
    <xf numFmtId="0" fontId="5" fillId="0" borderId="1" xfId="1" applyFont="1" applyBorder="1" applyAlignment="1">
      <alignment horizontal="left" vertical="top" wrapText="1"/>
    </xf>
    <xf numFmtId="49" fontId="5" fillId="0" borderId="1" xfId="1" applyNumberFormat="1" applyFont="1" applyBorder="1" applyAlignment="1">
      <alignment horizontal="center" shrinkToFit="1"/>
    </xf>
    <xf numFmtId="181" fontId="5" fillId="0" borderId="3" xfId="1" applyNumberFormat="1" applyFont="1" applyBorder="1" applyAlignment="1">
      <alignment shrinkToFit="1"/>
    </xf>
    <xf numFmtId="180" fontId="5" fillId="0" borderId="1" xfId="1" applyNumberFormat="1" applyFont="1" applyBorder="1" applyAlignment="1">
      <alignment horizontal="center" shrinkToFit="1"/>
    </xf>
    <xf numFmtId="180" fontId="5" fillId="0" borderId="2" xfId="2" applyNumberFormat="1" applyFont="1" applyBorder="1" applyAlignment="1">
      <alignment shrinkToFit="1"/>
    </xf>
    <xf numFmtId="196" fontId="5" fillId="0" borderId="6" xfId="1" applyNumberFormat="1" applyFont="1" applyBorder="1" applyAlignment="1">
      <alignment shrinkToFit="1"/>
    </xf>
    <xf numFmtId="195" fontId="3" fillId="0" borderId="10" xfId="1" applyNumberFormat="1" applyFont="1" applyBorder="1" applyAlignment="1">
      <alignment shrinkToFit="1"/>
    </xf>
    <xf numFmtId="181" fontId="5" fillId="0" borderId="1" xfId="2" applyNumberFormat="1" applyFont="1" applyBorder="1" applyAlignment="1">
      <alignment horizontal="right" shrinkToFit="1"/>
    </xf>
    <xf numFmtId="181" fontId="5" fillId="0" borderId="2" xfId="2" applyNumberFormat="1" applyFont="1" applyBorder="1" applyAlignment="1">
      <alignment horizontal="right" shrinkToFit="1"/>
    </xf>
    <xf numFmtId="181" fontId="5" fillId="0" borderId="3" xfId="2" applyNumberFormat="1" applyFont="1" applyBorder="1" applyAlignment="1">
      <alignment horizontal="right" shrinkToFit="1"/>
    </xf>
    <xf numFmtId="49" fontId="5" fillId="0" borderId="1" xfId="1" applyNumberFormat="1" applyFont="1" applyFill="1" applyBorder="1" applyAlignment="1">
      <alignment horizontal="center"/>
    </xf>
    <xf numFmtId="49" fontId="5" fillId="0" borderId="11" xfId="1" applyNumberFormat="1" applyFont="1" applyFill="1" applyBorder="1" applyAlignment="1">
      <alignment horizontal="center"/>
    </xf>
    <xf numFmtId="0" fontId="5" fillId="0" borderId="2" xfId="1" applyFont="1" applyBorder="1" applyAlignment="1">
      <alignment horizontal="left"/>
    </xf>
    <xf numFmtId="0" fontId="5" fillId="0" borderId="3" xfId="1" applyFont="1" applyBorder="1" applyAlignment="1">
      <alignment horizontal="left"/>
    </xf>
    <xf numFmtId="0" fontId="5" fillId="0" borderId="1" xfId="1" applyFont="1" applyBorder="1" applyAlignment="1">
      <alignment horizontal="left"/>
    </xf>
    <xf numFmtId="0" fontId="5" fillId="0" borderId="6" xfId="1" applyFont="1" applyFill="1" applyBorder="1" applyAlignment="1">
      <alignment horizontal="center" vertical="center"/>
    </xf>
    <xf numFmtId="0" fontId="5" fillId="0" borderId="7" xfId="1" applyFont="1" applyFill="1" applyBorder="1" applyAlignment="1">
      <alignment horizontal="center" vertical="center"/>
    </xf>
    <xf numFmtId="0" fontId="5" fillId="0" borderId="8" xfId="1" applyFont="1" applyFill="1" applyBorder="1" applyAlignment="1">
      <alignment horizontal="center" vertical="center"/>
    </xf>
    <xf numFmtId="49" fontId="5" fillId="0" borderId="5" xfId="1" applyNumberFormat="1" applyFont="1" applyFill="1" applyBorder="1" applyAlignment="1">
      <alignment horizontal="center"/>
    </xf>
    <xf numFmtId="0" fontId="5" fillId="0" borderId="1" xfId="1" applyFont="1" applyFill="1" applyBorder="1" applyAlignment="1">
      <alignment horizontal="center" vertical="center"/>
    </xf>
    <xf numFmtId="0" fontId="5" fillId="0" borderId="3" xfId="1" applyFont="1" applyFill="1" applyBorder="1" applyAlignment="1">
      <alignment horizontal="center" vertical="center"/>
    </xf>
    <xf numFmtId="0" fontId="5" fillId="0" borderId="0" xfId="1" applyFont="1" applyBorder="1" applyAlignment="1">
      <alignment vertical="center"/>
    </xf>
    <xf numFmtId="0" fontId="3" fillId="0" borderId="0" xfId="1" applyFont="1" applyBorder="1" applyAlignment="1">
      <alignment vertical="center"/>
    </xf>
    <xf numFmtId="49" fontId="5" fillId="0" borderId="9" xfId="1" applyNumberFormat="1" applyFont="1" applyBorder="1" applyAlignment="1">
      <alignment horizontal="center"/>
    </xf>
    <xf numFmtId="49" fontId="5" fillId="0" borderId="12" xfId="1" applyNumberFormat="1" applyFont="1" applyBorder="1" applyAlignment="1">
      <alignment horizontal="center"/>
    </xf>
    <xf numFmtId="0" fontId="5" fillId="0" borderId="2" xfId="1" applyFont="1" applyBorder="1" applyAlignment="1">
      <alignment horizontal="left" vertical="top" wrapText="1"/>
    </xf>
    <xf numFmtId="49" fontId="5" fillId="0" borderId="1" xfId="1" applyNumberFormat="1" applyFont="1" applyFill="1" applyBorder="1" applyAlignment="1">
      <alignment horizontal="center" vertical="center"/>
    </xf>
    <xf numFmtId="49" fontId="5" fillId="0" borderId="3" xfId="1" applyNumberFormat="1" applyFont="1" applyFill="1" applyBorder="1" applyAlignment="1">
      <alignment horizontal="center" vertical="center"/>
    </xf>
    <xf numFmtId="180" fontId="5" fillId="0" borderId="8" xfId="1" applyNumberFormat="1" applyFont="1" applyBorder="1" applyAlignment="1">
      <alignment horizontal="center" shrinkToFit="1"/>
    </xf>
    <xf numFmtId="180" fontId="5" fillId="0" borderId="13" xfId="1" applyNumberFormat="1" applyFont="1" applyBorder="1" applyAlignment="1">
      <alignment horizontal="center" shrinkToFit="1"/>
    </xf>
    <xf numFmtId="195" fontId="5" fillId="0" borderId="8" xfId="1" applyNumberFormat="1" applyFont="1" applyBorder="1" applyAlignment="1">
      <alignment horizontal="center" shrinkToFit="1"/>
    </xf>
    <xf numFmtId="195" fontId="5" fillId="0" borderId="13" xfId="1" applyNumberFormat="1" applyFont="1" applyBorder="1" applyAlignment="1">
      <alignment horizontal="center" shrinkToFit="1"/>
    </xf>
    <xf numFmtId="0" fontId="5" fillId="0" borderId="2" xfId="1" applyFont="1" applyFill="1" applyBorder="1" applyAlignment="1">
      <alignment horizontal="center" vertical="center"/>
    </xf>
  </cellXfs>
  <cellStyles count="3">
    <cellStyle name="Normal" xfId="0" builtinId="0"/>
    <cellStyle name="標準_帳票レイアウト(年報新聞発表用_日本語)" xfId="2" xr:uid="{55A2DC5A-E91D-4564-8A99-0DF1C74C371B}"/>
    <cellStyle name="標準_帳票レイアウト(年報新聞発表用_英語)" xfId="1" xr:uid="{9A3B467F-654D-40AA-8A23-97729E095F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47</xdr:row>
      <xdr:rowOff>69850</xdr:rowOff>
    </xdr:from>
    <xdr:to>
      <xdr:col>9</xdr:col>
      <xdr:colOff>939800</xdr:colOff>
      <xdr:row>50</xdr:row>
      <xdr:rowOff>38100</xdr:rowOff>
    </xdr:to>
    <xdr:sp macro="" textlink="">
      <xdr:nvSpPr>
        <xdr:cNvPr id="2049" name="Text Box 1">
          <a:extLst>
            <a:ext uri="{FF2B5EF4-FFF2-40B4-BE49-F238E27FC236}">
              <a16:creationId xmlns:a16="http://schemas.microsoft.com/office/drawing/2014/main" id="{FAE69397-CF98-8670-1C0C-5E4ECC876D6F}"/>
            </a:ext>
          </a:extLst>
        </xdr:cNvPr>
        <xdr:cNvSpPr txBox="1">
          <a:spLocks noChangeArrowheads="1"/>
        </xdr:cNvSpPr>
      </xdr:nvSpPr>
      <xdr:spPr bwMode="auto">
        <a:xfrm>
          <a:off x="19050" y="7467600"/>
          <a:ext cx="10077450" cy="40640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80808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Note : Investment in plant and equipment = increases of tangible fixed assets(excluding land)+depreciation expenses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</xdr:colOff>
      <xdr:row>33</xdr:row>
      <xdr:rowOff>76200</xdr:rowOff>
    </xdr:from>
    <xdr:to>
      <xdr:col>5</xdr:col>
      <xdr:colOff>1238250</xdr:colOff>
      <xdr:row>43</xdr:row>
      <xdr:rowOff>6350</xdr:rowOff>
    </xdr:to>
    <xdr:sp macro="" textlink="">
      <xdr:nvSpPr>
        <xdr:cNvPr id="3073" name="Text Box 1">
          <a:extLst>
            <a:ext uri="{FF2B5EF4-FFF2-40B4-BE49-F238E27FC236}">
              <a16:creationId xmlns:a16="http://schemas.microsoft.com/office/drawing/2014/main" id="{EE42F054-45E6-C59C-6E46-9E2B0A6E2ECE}"/>
            </a:ext>
          </a:extLst>
        </xdr:cNvPr>
        <xdr:cNvSpPr txBox="1">
          <a:spLocks noChangeArrowheads="1"/>
        </xdr:cNvSpPr>
      </xdr:nvSpPr>
      <xdr:spPr bwMode="auto">
        <a:xfrm>
          <a:off x="63500" y="5175250"/>
          <a:ext cx="9334500" cy="139065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80808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900"/>
            </a:lnSpc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Notes : 1.increases in inventories mean increases in inventories during the    </a:t>
          </a:r>
        </a:p>
        <a:p>
          <a:pPr algn="l" rtl="0">
            <a:lnSpc>
              <a:spcPts val="900"/>
            </a:lnSpc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          period.</a:t>
          </a:r>
        </a:p>
        <a:p>
          <a:pPr algn="l" rtl="0">
            <a:lnSpc>
              <a:spcPts val="900"/>
            </a:lnSpc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        </a:t>
          </a:r>
        </a:p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                                          inventories (end of the period)</a:t>
          </a:r>
        </a:p>
        <a:p>
          <a:pPr algn="l" rtl="0">
            <a:lnSpc>
              <a:spcPts val="900"/>
            </a:lnSpc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        2.ratio of inventories to sales =                                    ×　100 </a:t>
          </a:r>
        </a:p>
        <a:p>
          <a:pPr algn="l" rtl="0">
            <a:lnSpc>
              <a:spcPts val="900"/>
            </a:lnSpc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                                                      sales</a:t>
          </a:r>
        </a:p>
      </xdr:txBody>
    </xdr:sp>
    <xdr:clientData/>
  </xdr:twoCellAnchor>
  <xdr:twoCellAnchor>
    <xdr:from>
      <xdr:col>1</xdr:col>
      <xdr:colOff>82550</xdr:colOff>
      <xdr:row>37</xdr:row>
      <xdr:rowOff>19050</xdr:rowOff>
    </xdr:from>
    <xdr:to>
      <xdr:col>2</xdr:col>
      <xdr:colOff>215900</xdr:colOff>
      <xdr:row>37</xdr:row>
      <xdr:rowOff>19050</xdr:rowOff>
    </xdr:to>
    <xdr:sp macro="" textlink="">
      <xdr:nvSpPr>
        <xdr:cNvPr id="3074" name="Line 2">
          <a:extLst>
            <a:ext uri="{FF2B5EF4-FFF2-40B4-BE49-F238E27FC236}">
              <a16:creationId xmlns:a16="http://schemas.microsoft.com/office/drawing/2014/main" id="{206D2E7A-4518-9B8D-9F12-ADF76757C803}"/>
            </a:ext>
          </a:extLst>
        </xdr:cNvPr>
        <xdr:cNvSpPr>
          <a:spLocks noChangeShapeType="1"/>
        </xdr:cNvSpPr>
      </xdr:nvSpPr>
      <xdr:spPr bwMode="auto">
        <a:xfrm flipV="1">
          <a:off x="2247900" y="5702300"/>
          <a:ext cx="16319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1504950</xdr:colOff>
      <xdr:row>21</xdr:row>
      <xdr:rowOff>76200</xdr:rowOff>
    </xdr:from>
    <xdr:to>
      <xdr:col>7</xdr:col>
      <xdr:colOff>38100</xdr:colOff>
      <xdr:row>21</xdr:row>
      <xdr:rowOff>76200</xdr:rowOff>
    </xdr:to>
    <xdr:sp macro="" textlink="">
      <xdr:nvSpPr>
        <xdr:cNvPr id="4097" name="Line 1">
          <a:extLst>
            <a:ext uri="{FF2B5EF4-FFF2-40B4-BE49-F238E27FC236}">
              <a16:creationId xmlns:a16="http://schemas.microsoft.com/office/drawing/2014/main" id="{B5302186-6D25-C486-9DF2-0346913A68E8}"/>
            </a:ext>
          </a:extLst>
        </xdr:cNvPr>
        <xdr:cNvSpPr>
          <a:spLocks noChangeShapeType="1"/>
        </xdr:cNvSpPr>
      </xdr:nvSpPr>
      <xdr:spPr bwMode="auto">
        <a:xfrm>
          <a:off x="1504950" y="3498850"/>
          <a:ext cx="54483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23</xdr:row>
      <xdr:rowOff>50800</xdr:rowOff>
    </xdr:from>
    <xdr:to>
      <xdr:col>6</xdr:col>
      <xdr:colOff>533400</xdr:colOff>
      <xdr:row>38</xdr:row>
      <xdr:rowOff>127000</xdr:rowOff>
    </xdr:to>
    <xdr:sp macro="" textlink="">
      <xdr:nvSpPr>
        <xdr:cNvPr id="5121" name="Text Box 1">
          <a:extLst>
            <a:ext uri="{FF2B5EF4-FFF2-40B4-BE49-F238E27FC236}">
              <a16:creationId xmlns:a16="http://schemas.microsoft.com/office/drawing/2014/main" id="{A2BEC0D6-0C66-BD0C-CCE0-996FED6A3214}"/>
            </a:ext>
          </a:extLst>
        </xdr:cNvPr>
        <xdr:cNvSpPr txBox="1">
          <a:spLocks noChangeArrowheads="1"/>
        </xdr:cNvSpPr>
      </xdr:nvSpPr>
      <xdr:spPr bwMode="auto">
        <a:xfrm>
          <a:off x="25400" y="3790950"/>
          <a:ext cx="6819900" cy="226695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80808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900"/>
            </a:lnSpc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Notes : 1.capital increases = Increase of capital stock and capital reserves</a:t>
          </a:r>
        </a:p>
        <a:p>
          <a:pPr algn="l" rtl="0">
            <a:lnSpc>
              <a:spcPts val="900"/>
            </a:lnSpc>
            <a:defRPr sz="1000"/>
          </a:pPr>
          <a:endParaRPr lang="en-US" sz="8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l" rtl="0">
            <a:lnSpc>
              <a:spcPts val="900"/>
            </a:lnSpc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        2.amounts of bills receivable discounted are included in short-term borrowings.</a:t>
          </a:r>
        </a:p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          </a:t>
          </a:r>
        </a:p>
        <a:p>
          <a:pPr algn="l" rtl="0">
            <a:lnSpc>
              <a:spcPts val="900"/>
            </a:lnSpc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        3.internal reserves = Increase of earned surplus (minus treasury stock),allowance,allowance by special laws </a:t>
          </a:r>
        </a:p>
        <a:p>
          <a:pPr algn="l" rtl="0">
            <a:lnSpc>
              <a:spcPts val="900"/>
            </a:lnSpc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         and a part of liabilities( such as accrued expense ) during a year. </a:t>
          </a:r>
        </a:p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         When amount of increase of [(bills receivable + accounts receivable + bills receivable discounted ) - (bills </a:t>
          </a:r>
        </a:p>
        <a:p>
          <a:pPr algn="l" rtl="0">
            <a:lnSpc>
              <a:spcPts val="900"/>
            </a:lnSpc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         payable + accounts payable )] is negative, the absolute value of the amount is counted as internal reserves. </a:t>
          </a:r>
        </a:p>
        <a:p>
          <a:pPr algn="l" rtl="0">
            <a:lnSpc>
              <a:spcPts val="900"/>
            </a:lnSpc>
            <a:defRPr sz="1000"/>
          </a:pPr>
          <a:endParaRPr lang="en-US" sz="8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l" rtl="0">
            <a:lnSpc>
              <a:spcPts val="900"/>
            </a:lnSpc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        4.special depreciation expenses are included in depreciation expenses.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21</xdr:row>
      <xdr:rowOff>76200</xdr:rowOff>
    </xdr:from>
    <xdr:to>
      <xdr:col>5</xdr:col>
      <xdr:colOff>654050</xdr:colOff>
      <xdr:row>28</xdr:row>
      <xdr:rowOff>6350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CCCBCE60-13D3-5623-6177-A83DAC1BAC97}"/>
            </a:ext>
          </a:extLst>
        </xdr:cNvPr>
        <xdr:cNvSpPr txBox="1">
          <a:spLocks noChangeArrowheads="1"/>
        </xdr:cNvSpPr>
      </xdr:nvSpPr>
      <xdr:spPr bwMode="auto">
        <a:xfrm>
          <a:off x="38100" y="3346450"/>
          <a:ext cx="7061200" cy="95250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80808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900"/>
            </a:lnSpc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                                  net worth</a:t>
          </a:r>
        </a:p>
        <a:p>
          <a:pPr algn="l" rtl="0">
            <a:lnSpc>
              <a:spcPts val="900"/>
            </a:lnSpc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Note : ratio of net worth =                                ×　100</a:t>
          </a:r>
        </a:p>
        <a:p>
          <a:pPr algn="l" rtl="0">
            <a:lnSpc>
              <a:spcPts val="900"/>
            </a:lnSpc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                             liabilities and net worth </a:t>
          </a:r>
        </a:p>
      </xdr:txBody>
    </xdr:sp>
    <xdr:clientData/>
  </xdr:twoCellAnchor>
  <xdr:twoCellAnchor>
    <xdr:from>
      <xdr:col>0</xdr:col>
      <xdr:colOff>1543050</xdr:colOff>
      <xdr:row>22</xdr:row>
      <xdr:rowOff>107950</xdr:rowOff>
    </xdr:from>
    <xdr:to>
      <xdr:col>1</xdr:col>
      <xdr:colOff>971550</xdr:colOff>
      <xdr:row>22</xdr:row>
      <xdr:rowOff>107950</xdr:rowOff>
    </xdr:to>
    <xdr:sp macro="" textlink="">
      <xdr:nvSpPr>
        <xdr:cNvPr id="1026" name="Line 2">
          <a:extLst>
            <a:ext uri="{FF2B5EF4-FFF2-40B4-BE49-F238E27FC236}">
              <a16:creationId xmlns:a16="http://schemas.microsoft.com/office/drawing/2014/main" id="{44FF364F-5B05-7994-E430-4D8F344EED48}"/>
            </a:ext>
          </a:extLst>
        </xdr:cNvPr>
        <xdr:cNvSpPr>
          <a:spLocks noChangeShapeType="1"/>
        </xdr:cNvSpPr>
      </xdr:nvSpPr>
      <xdr:spPr bwMode="auto">
        <a:xfrm>
          <a:off x="1543050" y="3524250"/>
          <a:ext cx="13271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AF096-C904-40C3-BB00-D9598CACDFA3}">
  <sheetPr codeName="Sheet12">
    <pageSetUpPr fitToPage="1"/>
  </sheetPr>
  <dimension ref="A1:K131"/>
  <sheetViews>
    <sheetView showGridLines="0" tabSelected="1" zoomScaleNormal="100" zoomScaleSheetLayoutView="50" workbookViewId="0"/>
  </sheetViews>
  <sheetFormatPr defaultColWidth="10.296875" defaultRowHeight="11"/>
  <cols>
    <col min="1" max="1" width="35.3984375" style="1" bestFit="1" customWidth="1"/>
    <col min="2" max="2" width="17.8984375" style="1" customWidth="1"/>
    <col min="3" max="3" width="8.69921875" style="1" customWidth="1"/>
    <col min="4" max="4" width="17.8984375" style="1" customWidth="1"/>
    <col min="5" max="5" width="8.69921875" style="1" customWidth="1"/>
    <col min="6" max="6" width="17.8984375" style="1" customWidth="1"/>
    <col min="7" max="7" width="8.69921875" style="1" customWidth="1"/>
    <col min="8" max="8" width="17.8984375" style="1" customWidth="1"/>
    <col min="9" max="9" width="8.69921875" style="1" customWidth="1"/>
    <col min="10" max="10" width="17.8984375" style="1" customWidth="1"/>
    <col min="11" max="11" width="8.69921875" style="1" customWidth="1"/>
    <col min="12" max="16384" width="10.296875" style="1"/>
  </cols>
  <sheetData>
    <row r="1" spans="1:11" ht="19">
      <c r="A1" s="2" t="s">
        <v>11</v>
      </c>
    </row>
    <row r="2" spans="1:11" ht="19">
      <c r="D2" s="2" t="s">
        <v>12</v>
      </c>
    </row>
    <row r="3" spans="1:11" ht="11.5" thickBot="1">
      <c r="K3" s="3" t="s">
        <v>13</v>
      </c>
    </row>
    <row r="4" spans="1:11" ht="12" customHeight="1" thickBot="1">
      <c r="A4" s="67" t="s">
        <v>2</v>
      </c>
      <c r="B4" s="62">
        <v>1999</v>
      </c>
      <c r="C4" s="62"/>
      <c r="D4" s="62">
        <v>2000</v>
      </c>
      <c r="E4" s="63"/>
      <c r="F4" s="62">
        <v>2001</v>
      </c>
      <c r="G4" s="63"/>
      <c r="H4" s="62">
        <v>2002</v>
      </c>
      <c r="I4" s="63"/>
      <c r="J4" s="62">
        <v>2003</v>
      </c>
      <c r="K4" s="63"/>
    </row>
    <row r="5" spans="1:11" ht="25" customHeight="1" thickBot="1">
      <c r="A5" s="68"/>
      <c r="B5" s="15"/>
      <c r="C5" s="16" t="s">
        <v>14</v>
      </c>
      <c r="D5" s="15"/>
      <c r="E5" s="16" t="s">
        <v>14</v>
      </c>
      <c r="F5" s="15"/>
      <c r="G5" s="16" t="s">
        <v>14</v>
      </c>
      <c r="H5" s="15"/>
      <c r="I5" s="16" t="s">
        <v>14</v>
      </c>
      <c r="J5" s="15"/>
      <c r="K5" s="16" t="s">
        <v>14</v>
      </c>
    </row>
    <row r="6" spans="1:11" ht="12" customHeight="1">
      <c r="A6" s="66" t="s">
        <v>15</v>
      </c>
      <c r="B6" s="17"/>
      <c r="C6" s="18"/>
      <c r="D6" s="17"/>
      <c r="E6" s="18"/>
      <c r="F6" s="17"/>
      <c r="G6" s="18"/>
      <c r="H6" s="17"/>
      <c r="I6" s="18"/>
      <c r="J6" s="17"/>
      <c r="K6" s="18"/>
    </row>
    <row r="7" spans="1:11" ht="12" customHeight="1">
      <c r="A7" s="64"/>
      <c r="B7" s="19">
        <v>13834638.5</v>
      </c>
      <c r="C7" s="20">
        <v>0.2</v>
      </c>
      <c r="D7" s="19">
        <v>14350278.43</v>
      </c>
      <c r="E7" s="20">
        <v>3.7</v>
      </c>
      <c r="F7" s="19">
        <v>13382065.369999999</v>
      </c>
      <c r="G7" s="20">
        <v>-6.7694070000000002</v>
      </c>
      <c r="H7" s="19">
        <v>13268019.550000001</v>
      </c>
      <c r="I7" s="20">
        <v>-0.85222900000000001</v>
      </c>
      <c r="J7" s="19">
        <v>13346736.560000001</v>
      </c>
      <c r="K7" s="20">
        <v>0.59328400000000003</v>
      </c>
    </row>
    <row r="8" spans="1:11" ht="12" customHeight="1">
      <c r="A8" s="64" t="s">
        <v>16</v>
      </c>
      <c r="B8" s="19"/>
      <c r="C8" s="20"/>
      <c r="D8" s="19"/>
      <c r="E8" s="20"/>
      <c r="F8" s="19"/>
      <c r="G8" s="20"/>
      <c r="H8" s="19"/>
      <c r="I8" s="20"/>
      <c r="J8" s="19"/>
      <c r="K8" s="20"/>
    </row>
    <row r="9" spans="1:11" ht="12" customHeight="1">
      <c r="A9" s="64"/>
      <c r="B9" s="19">
        <v>3952553.18</v>
      </c>
      <c r="C9" s="20">
        <v>2.2999999999999998</v>
      </c>
      <c r="D9" s="19">
        <v>4209817.46</v>
      </c>
      <c r="E9" s="20">
        <v>6.5</v>
      </c>
      <c r="F9" s="19">
        <v>3828583.76</v>
      </c>
      <c r="G9" s="20">
        <v>-9.0719989999999999</v>
      </c>
      <c r="H9" s="19">
        <v>3775312.07</v>
      </c>
      <c r="I9" s="20">
        <v>-1.3914200000000001</v>
      </c>
      <c r="J9" s="19">
        <v>3849498.67</v>
      </c>
      <c r="K9" s="20">
        <v>1.9650460000000001</v>
      </c>
    </row>
    <row r="10" spans="1:11" ht="12" customHeight="1">
      <c r="A10" s="64" t="s">
        <v>17</v>
      </c>
      <c r="B10" s="19"/>
      <c r="C10" s="20"/>
      <c r="D10" s="19"/>
      <c r="E10" s="20"/>
      <c r="F10" s="19"/>
      <c r="G10" s="20"/>
      <c r="H10" s="19"/>
      <c r="I10" s="20"/>
      <c r="J10" s="19"/>
      <c r="K10" s="20"/>
    </row>
    <row r="11" spans="1:11" ht="12" customHeight="1">
      <c r="A11" s="64"/>
      <c r="B11" s="19">
        <v>488263.66</v>
      </c>
      <c r="C11" s="20">
        <v>11.8</v>
      </c>
      <c r="D11" s="19">
        <v>516195.55</v>
      </c>
      <c r="E11" s="20">
        <v>5.7</v>
      </c>
      <c r="F11" s="19">
        <v>427091.92</v>
      </c>
      <c r="G11" s="20">
        <v>-17.261603999999998</v>
      </c>
      <c r="H11" s="19">
        <v>446976.58</v>
      </c>
      <c r="I11" s="20">
        <v>4.6558270000000004</v>
      </c>
      <c r="J11" s="19">
        <v>418198.23</v>
      </c>
      <c r="K11" s="20">
        <v>-6.438447</v>
      </c>
    </row>
    <row r="12" spans="1:11" ht="12" customHeight="1">
      <c r="A12" s="64" t="s">
        <v>18</v>
      </c>
      <c r="B12" s="19"/>
      <c r="C12" s="20"/>
      <c r="D12" s="19"/>
      <c r="E12" s="20"/>
      <c r="F12" s="19"/>
      <c r="G12" s="20"/>
      <c r="H12" s="19"/>
      <c r="I12" s="20"/>
      <c r="J12" s="19"/>
      <c r="K12" s="20"/>
    </row>
    <row r="13" spans="1:11" ht="12" customHeight="1">
      <c r="A13" s="64"/>
      <c r="B13" s="19">
        <v>196770.48</v>
      </c>
      <c r="C13" s="20">
        <v>10.5</v>
      </c>
      <c r="D13" s="19">
        <v>171734.62</v>
      </c>
      <c r="E13" s="20">
        <v>-12.7</v>
      </c>
      <c r="F13" s="19">
        <v>196174.23</v>
      </c>
      <c r="G13" s="20">
        <v>14.409762000000001</v>
      </c>
      <c r="H13" s="19">
        <v>175949.96</v>
      </c>
      <c r="I13" s="20">
        <v>-10.309341</v>
      </c>
      <c r="J13" s="19">
        <v>182109.85</v>
      </c>
      <c r="K13" s="20">
        <v>3.5009329999999999</v>
      </c>
    </row>
    <row r="14" spans="1:11" ht="12" customHeight="1">
      <c r="A14" s="64" t="s">
        <v>19</v>
      </c>
      <c r="B14" s="19"/>
      <c r="C14" s="20"/>
      <c r="D14" s="19"/>
      <c r="E14" s="20"/>
      <c r="F14" s="19"/>
      <c r="G14" s="20"/>
      <c r="H14" s="19"/>
      <c r="I14" s="20"/>
      <c r="J14" s="19"/>
      <c r="K14" s="20"/>
    </row>
    <row r="15" spans="1:11" ht="12" customHeight="1">
      <c r="A15" s="64"/>
      <c r="B15" s="19">
        <v>346421.21</v>
      </c>
      <c r="C15" s="20">
        <v>-0.8</v>
      </c>
      <c r="D15" s="19">
        <v>374837.51</v>
      </c>
      <c r="E15" s="20">
        <v>8.1999999999999993</v>
      </c>
      <c r="F15" s="19">
        <v>356064.96</v>
      </c>
      <c r="G15" s="20">
        <v>-5.018116</v>
      </c>
      <c r="H15" s="19">
        <v>359496.18</v>
      </c>
      <c r="I15" s="20">
        <v>0.96365000000000001</v>
      </c>
      <c r="J15" s="19">
        <v>375180.19</v>
      </c>
      <c r="K15" s="20">
        <v>4.3627750000000001</v>
      </c>
    </row>
    <row r="16" spans="1:11" ht="12" customHeight="1">
      <c r="A16" s="64" t="s">
        <v>20</v>
      </c>
      <c r="B16" s="19"/>
      <c r="C16" s="20"/>
      <c r="D16" s="19"/>
      <c r="E16" s="20"/>
      <c r="F16" s="19"/>
      <c r="G16" s="20"/>
      <c r="H16" s="19"/>
      <c r="I16" s="20"/>
      <c r="J16" s="19"/>
      <c r="K16" s="20"/>
    </row>
    <row r="17" spans="1:11" ht="12" customHeight="1">
      <c r="A17" s="64"/>
      <c r="B17" s="19">
        <v>187868.01</v>
      </c>
      <c r="C17" s="20">
        <v>-8.1999999999999993</v>
      </c>
      <c r="D17" s="19">
        <v>228976.85</v>
      </c>
      <c r="E17" s="20">
        <v>21.9</v>
      </c>
      <c r="F17" s="19">
        <v>197489.98</v>
      </c>
      <c r="G17" s="20">
        <v>-13.779389</v>
      </c>
      <c r="H17" s="19">
        <v>169866.49</v>
      </c>
      <c r="I17" s="20">
        <v>-13.987287</v>
      </c>
      <c r="J17" s="19">
        <v>160659.74</v>
      </c>
      <c r="K17" s="20">
        <v>-5.4199919999999997</v>
      </c>
    </row>
    <row r="18" spans="1:11" ht="12" customHeight="1">
      <c r="A18" s="64" t="s">
        <v>21</v>
      </c>
      <c r="B18" s="19"/>
      <c r="C18" s="20"/>
      <c r="D18" s="19"/>
      <c r="E18" s="20"/>
      <c r="F18" s="19"/>
      <c r="G18" s="20"/>
      <c r="H18" s="19"/>
      <c r="I18" s="20"/>
      <c r="J18" s="19"/>
      <c r="K18" s="20"/>
    </row>
    <row r="19" spans="1:11" ht="12" customHeight="1">
      <c r="A19" s="64"/>
      <c r="B19" s="19">
        <v>264046.86</v>
      </c>
      <c r="C19" s="20">
        <v>-1</v>
      </c>
      <c r="D19" s="19">
        <v>281239.89</v>
      </c>
      <c r="E19" s="20">
        <v>6.5</v>
      </c>
      <c r="F19" s="19">
        <v>262319.59999999998</v>
      </c>
      <c r="G19" s="20">
        <v>-6.7274560000000001</v>
      </c>
      <c r="H19" s="19">
        <v>270826.11</v>
      </c>
      <c r="I19" s="20">
        <v>3.242804</v>
      </c>
      <c r="J19" s="19">
        <v>303135.49</v>
      </c>
      <c r="K19" s="20">
        <v>11.929935</v>
      </c>
    </row>
    <row r="20" spans="1:11" ht="12" customHeight="1">
      <c r="A20" s="64" t="s">
        <v>22</v>
      </c>
      <c r="B20" s="19"/>
      <c r="C20" s="20"/>
      <c r="D20" s="19"/>
      <c r="E20" s="20"/>
      <c r="F20" s="19"/>
      <c r="G20" s="20"/>
      <c r="H20" s="19"/>
      <c r="I20" s="20"/>
      <c r="J20" s="19"/>
      <c r="K20" s="20"/>
    </row>
    <row r="21" spans="1:11" ht="12" customHeight="1">
      <c r="A21" s="64"/>
      <c r="B21" s="19">
        <v>822345.17</v>
      </c>
      <c r="C21" s="20">
        <v>4.2</v>
      </c>
      <c r="D21" s="19">
        <v>894341.84</v>
      </c>
      <c r="E21" s="20">
        <v>8.8000000000000007</v>
      </c>
      <c r="F21" s="19">
        <v>738541.7</v>
      </c>
      <c r="G21" s="20">
        <v>-17.427655999999999</v>
      </c>
      <c r="H21" s="19">
        <v>684730.09</v>
      </c>
      <c r="I21" s="20">
        <v>-7.2861979999999997</v>
      </c>
      <c r="J21" s="19">
        <v>699689.91</v>
      </c>
      <c r="K21" s="20">
        <v>2.1847759999999998</v>
      </c>
    </row>
    <row r="22" spans="1:11" ht="12" customHeight="1">
      <c r="A22" s="64" t="s">
        <v>23</v>
      </c>
      <c r="B22" s="19"/>
      <c r="C22" s="20"/>
      <c r="D22" s="19"/>
      <c r="E22" s="20"/>
      <c r="F22" s="19"/>
      <c r="G22" s="20"/>
      <c r="H22" s="19"/>
      <c r="I22" s="20"/>
      <c r="J22" s="19"/>
      <c r="K22" s="20"/>
    </row>
    <row r="23" spans="1:11" ht="12" customHeight="1">
      <c r="A23" s="64"/>
      <c r="B23" s="19">
        <v>455608.3</v>
      </c>
      <c r="C23" s="20">
        <v>-0.6</v>
      </c>
      <c r="D23" s="19">
        <v>467963.14</v>
      </c>
      <c r="E23" s="20">
        <v>2.7</v>
      </c>
      <c r="F23" s="19">
        <v>468444.52</v>
      </c>
      <c r="G23" s="20">
        <v>5.0701000000000003E-2</v>
      </c>
      <c r="H23" s="19">
        <v>487901.49</v>
      </c>
      <c r="I23" s="20">
        <v>4.1535270000000004</v>
      </c>
      <c r="J23" s="19">
        <v>568598.94999999995</v>
      </c>
      <c r="K23" s="20">
        <v>16.539704</v>
      </c>
    </row>
    <row r="24" spans="1:11" ht="12" customHeight="1">
      <c r="A24" s="64" t="s">
        <v>24</v>
      </c>
      <c r="B24" s="19"/>
      <c r="C24" s="20"/>
      <c r="D24" s="19"/>
      <c r="E24" s="20"/>
      <c r="F24" s="19"/>
      <c r="G24" s="20"/>
      <c r="H24" s="19"/>
      <c r="I24" s="20"/>
      <c r="J24" s="19"/>
      <c r="K24" s="20"/>
    </row>
    <row r="25" spans="1:11" ht="12" customHeight="1">
      <c r="A25" s="64"/>
      <c r="B25" s="19">
        <v>9882085.3200000003</v>
      </c>
      <c r="C25" s="20">
        <v>-0.7</v>
      </c>
      <c r="D25" s="19">
        <v>10140460.970000001</v>
      </c>
      <c r="E25" s="20">
        <v>2.6</v>
      </c>
      <c r="F25" s="19">
        <v>9553481.6099999994</v>
      </c>
      <c r="G25" s="20">
        <v>-5.813485</v>
      </c>
      <c r="H25" s="19">
        <v>9492707.4800000004</v>
      </c>
      <c r="I25" s="20">
        <v>-0.63614599999999999</v>
      </c>
      <c r="J25" s="19">
        <v>9497237.8900000006</v>
      </c>
      <c r="K25" s="20">
        <v>4.7724999999999997E-2</v>
      </c>
    </row>
    <row r="26" spans="1:11" ht="12" customHeight="1">
      <c r="A26" s="64" t="s">
        <v>25</v>
      </c>
      <c r="B26" s="19"/>
      <c r="C26" s="20"/>
      <c r="D26" s="19"/>
      <c r="E26" s="20"/>
      <c r="F26" s="19"/>
      <c r="G26" s="20"/>
      <c r="H26" s="19"/>
      <c r="I26" s="20"/>
      <c r="J26" s="19"/>
      <c r="K26" s="20"/>
    </row>
    <row r="27" spans="1:11" ht="12" customHeight="1">
      <c r="A27" s="64"/>
      <c r="B27" s="19">
        <v>1443674.34</v>
      </c>
      <c r="C27" s="20">
        <v>-5</v>
      </c>
      <c r="D27" s="19">
        <v>1445454.11</v>
      </c>
      <c r="E27" s="20">
        <v>0.1</v>
      </c>
      <c r="F27" s="19">
        <v>1393536.66</v>
      </c>
      <c r="G27" s="20">
        <v>-3.594713</v>
      </c>
      <c r="H27" s="19">
        <v>1354464.28</v>
      </c>
      <c r="I27" s="20">
        <v>-2.8038289999999999</v>
      </c>
      <c r="J27" s="19">
        <v>1274553.7</v>
      </c>
      <c r="K27" s="20">
        <v>-5.8997919999999997</v>
      </c>
    </row>
    <row r="28" spans="1:11" ht="12" customHeight="1">
      <c r="A28" s="64" t="s">
        <v>26</v>
      </c>
      <c r="B28" s="19"/>
      <c r="C28" s="20"/>
      <c r="D28" s="19"/>
      <c r="E28" s="20"/>
      <c r="F28" s="19"/>
      <c r="G28" s="20"/>
      <c r="H28" s="19"/>
      <c r="I28" s="20"/>
      <c r="J28" s="19"/>
      <c r="K28" s="20"/>
    </row>
    <row r="29" spans="1:11" ht="12" customHeight="1">
      <c r="A29" s="64"/>
      <c r="B29" s="19">
        <v>5504606.5</v>
      </c>
      <c r="C29" s="20">
        <v>1.5</v>
      </c>
      <c r="D29" s="19">
        <v>5535824.3799999999</v>
      </c>
      <c r="E29" s="20">
        <v>0.6</v>
      </c>
      <c r="F29" s="19">
        <v>5276248.97</v>
      </c>
      <c r="G29" s="20">
        <v>-4.7129810000000001</v>
      </c>
      <c r="H29" s="19">
        <v>5164403.47</v>
      </c>
      <c r="I29" s="20">
        <v>-2.1197919999999999</v>
      </c>
      <c r="J29" s="19">
        <v>5103098.18</v>
      </c>
      <c r="K29" s="20">
        <v>-1.187074</v>
      </c>
    </row>
    <row r="30" spans="1:11" ht="12" customHeight="1">
      <c r="A30" s="64" t="s">
        <v>27</v>
      </c>
      <c r="B30" s="19"/>
      <c r="C30" s="20"/>
      <c r="D30" s="19"/>
      <c r="E30" s="20"/>
      <c r="F30" s="19"/>
      <c r="G30" s="20"/>
      <c r="H30" s="19"/>
      <c r="I30" s="20"/>
      <c r="J30" s="19"/>
      <c r="K30" s="20"/>
    </row>
    <row r="31" spans="1:11" ht="12" customHeight="1">
      <c r="A31" s="64"/>
      <c r="B31" s="19">
        <v>323704.5</v>
      </c>
      <c r="C31" s="20">
        <v>-2.2000000000000002</v>
      </c>
      <c r="D31" s="19">
        <v>299054.25</v>
      </c>
      <c r="E31" s="20">
        <v>-7.6</v>
      </c>
      <c r="F31" s="19">
        <v>318582.07</v>
      </c>
      <c r="G31" s="20">
        <v>6.524114</v>
      </c>
      <c r="H31" s="19">
        <v>334761.15999999997</v>
      </c>
      <c r="I31" s="20">
        <v>5.078468</v>
      </c>
      <c r="J31" s="19">
        <v>336282.81</v>
      </c>
      <c r="K31" s="20">
        <v>0.45454800000000001</v>
      </c>
    </row>
    <row r="32" spans="1:11" ht="12" customHeight="1">
      <c r="A32" s="64" t="s">
        <v>28</v>
      </c>
      <c r="B32" s="19"/>
      <c r="C32" s="20"/>
      <c r="D32" s="19"/>
      <c r="E32" s="20"/>
      <c r="F32" s="19"/>
      <c r="G32" s="20"/>
      <c r="H32" s="19"/>
      <c r="I32" s="20"/>
      <c r="J32" s="19"/>
      <c r="K32" s="20"/>
    </row>
    <row r="33" spans="1:11" ht="12" customHeight="1">
      <c r="A33" s="64"/>
      <c r="B33" s="19">
        <v>685541.55</v>
      </c>
      <c r="C33" s="20">
        <v>-11</v>
      </c>
      <c r="D33" s="19">
        <v>764584.73</v>
      </c>
      <c r="E33" s="20">
        <v>11.5</v>
      </c>
      <c r="F33" s="19">
        <v>748697.66</v>
      </c>
      <c r="G33" s="20">
        <v>-2.1001949999999998</v>
      </c>
      <c r="H33" s="19">
        <v>769381.61</v>
      </c>
      <c r="I33" s="20">
        <v>2.7626569999999999</v>
      </c>
      <c r="J33" s="19">
        <v>794107.24</v>
      </c>
      <c r="K33" s="20">
        <v>3.2137020000000001</v>
      </c>
    </row>
    <row r="34" spans="1:11" ht="12" customHeight="1">
      <c r="A34" s="64" t="s">
        <v>29</v>
      </c>
      <c r="B34" s="19"/>
      <c r="C34" s="20"/>
      <c r="D34" s="19"/>
      <c r="E34" s="20"/>
      <c r="F34" s="19"/>
      <c r="G34" s="20"/>
      <c r="H34" s="19"/>
      <c r="I34" s="20"/>
      <c r="J34" s="19"/>
      <c r="K34" s="20"/>
    </row>
    <row r="35" spans="1:11" ht="12" customHeight="1">
      <c r="A35" s="64"/>
      <c r="B35" s="19">
        <v>159012.76999999999</v>
      </c>
      <c r="C35" s="20">
        <v>-0.4</v>
      </c>
      <c r="D35" s="19">
        <v>163701.91</v>
      </c>
      <c r="E35" s="20">
        <v>2.9</v>
      </c>
      <c r="F35" s="19">
        <v>160658.03</v>
      </c>
      <c r="G35" s="20">
        <v>-1.8594040000000001</v>
      </c>
      <c r="H35" s="19">
        <v>155553.25</v>
      </c>
      <c r="I35" s="20">
        <v>-3.1774200000000001</v>
      </c>
      <c r="J35" s="19">
        <v>151458.94</v>
      </c>
      <c r="K35" s="20">
        <v>-2.6320950000000001</v>
      </c>
    </row>
    <row r="36" spans="1:11" ht="12" customHeight="1">
      <c r="A36" s="64" t="s">
        <v>30</v>
      </c>
      <c r="B36" s="19"/>
      <c r="C36" s="20"/>
      <c r="D36" s="19"/>
      <c r="E36" s="20"/>
      <c r="F36" s="19"/>
      <c r="G36" s="20"/>
      <c r="H36" s="19"/>
      <c r="I36" s="20"/>
      <c r="J36" s="19"/>
      <c r="K36" s="20"/>
    </row>
    <row r="37" spans="1:11" ht="12" customHeight="1" thickBot="1">
      <c r="A37" s="64"/>
      <c r="B37" s="19">
        <v>1675446.21</v>
      </c>
      <c r="C37" s="20">
        <v>1.2</v>
      </c>
      <c r="D37" s="19">
        <v>1835463.61</v>
      </c>
      <c r="E37" s="20">
        <v>9.6</v>
      </c>
      <c r="F37" s="19">
        <v>1559181.68</v>
      </c>
      <c r="G37" s="20">
        <v>-15.103407000000001</v>
      </c>
      <c r="H37" s="19">
        <v>1613375.03</v>
      </c>
      <c r="I37" s="20">
        <v>3.4757560000000001</v>
      </c>
      <c r="J37" s="19">
        <v>1738957.29</v>
      </c>
      <c r="K37" s="20">
        <v>7.7838229999999999</v>
      </c>
    </row>
    <row r="38" spans="1:11" ht="12" customHeight="1">
      <c r="A38" s="66" t="s">
        <v>6</v>
      </c>
      <c r="B38" s="21"/>
      <c r="C38" s="18"/>
      <c r="D38" s="21"/>
      <c r="E38" s="18"/>
      <c r="F38" s="21"/>
      <c r="G38" s="18"/>
      <c r="H38" s="21"/>
      <c r="I38" s="18"/>
      <c r="J38" s="21"/>
      <c r="K38" s="18"/>
    </row>
    <row r="39" spans="1:11" ht="12" customHeight="1">
      <c r="A39" s="64"/>
      <c r="B39" s="19"/>
      <c r="C39" s="20"/>
      <c r="D39" s="19"/>
      <c r="E39" s="20"/>
      <c r="F39" s="19"/>
      <c r="G39" s="20"/>
      <c r="H39" s="19"/>
      <c r="I39" s="20"/>
      <c r="J39" s="19"/>
      <c r="K39" s="20"/>
    </row>
    <row r="40" spans="1:11" ht="12" customHeight="1">
      <c r="A40" s="64" t="s">
        <v>31</v>
      </c>
      <c r="B40" s="19"/>
      <c r="C40" s="20"/>
      <c r="D40" s="19"/>
      <c r="E40" s="20"/>
      <c r="F40" s="19"/>
      <c r="G40" s="20"/>
      <c r="H40" s="19"/>
      <c r="I40" s="20"/>
      <c r="J40" s="19"/>
      <c r="K40" s="20"/>
    </row>
    <row r="41" spans="1:11" ht="12" customHeight="1">
      <c r="A41" s="64"/>
      <c r="B41" s="19">
        <v>5072577.4800000004</v>
      </c>
      <c r="C41" s="20">
        <v>-0.9</v>
      </c>
      <c r="D41" s="19">
        <v>5269673.43</v>
      </c>
      <c r="E41" s="20">
        <v>3.9</v>
      </c>
      <c r="F41" s="19">
        <v>5125371.26</v>
      </c>
      <c r="G41" s="20">
        <v>-2.750086</v>
      </c>
      <c r="H41" s="19">
        <v>5007745.3499999996</v>
      </c>
      <c r="I41" s="20">
        <v>-2.2949730000000002</v>
      </c>
      <c r="J41" s="19">
        <v>5085312.2699999996</v>
      </c>
      <c r="K41" s="20">
        <v>1.5489390000000001</v>
      </c>
    </row>
    <row r="42" spans="1:11" ht="12" customHeight="1">
      <c r="A42" s="64" t="s">
        <v>32</v>
      </c>
      <c r="B42" s="19"/>
      <c r="C42" s="20"/>
      <c r="D42" s="19"/>
      <c r="E42" s="20"/>
      <c r="F42" s="19"/>
      <c r="G42" s="20"/>
      <c r="H42" s="19"/>
      <c r="I42" s="20"/>
      <c r="J42" s="19"/>
      <c r="K42" s="20"/>
    </row>
    <row r="43" spans="1:11" ht="12" customHeight="1">
      <c r="A43" s="64"/>
      <c r="B43" s="19">
        <v>2094125.6</v>
      </c>
      <c r="C43" s="20">
        <v>-0.6</v>
      </c>
      <c r="D43" s="19">
        <v>2167130.83</v>
      </c>
      <c r="E43" s="20">
        <v>3.5</v>
      </c>
      <c r="F43" s="19">
        <v>1970251.28</v>
      </c>
      <c r="G43" s="20">
        <v>-9.2046519999999994</v>
      </c>
      <c r="H43" s="19">
        <v>2032211.36</v>
      </c>
      <c r="I43" s="20">
        <v>3.144781</v>
      </c>
      <c r="J43" s="19">
        <v>2103239.12</v>
      </c>
      <c r="K43" s="20">
        <v>3.4950969999999999</v>
      </c>
    </row>
    <row r="44" spans="1:11" ht="12" customHeight="1">
      <c r="A44" s="64" t="s">
        <v>9</v>
      </c>
      <c r="B44" s="19"/>
      <c r="C44" s="20"/>
      <c r="D44" s="19"/>
      <c r="E44" s="20"/>
      <c r="F44" s="19"/>
      <c r="G44" s="20"/>
      <c r="H44" s="19"/>
      <c r="I44" s="20"/>
      <c r="J44" s="19"/>
      <c r="K44" s="20"/>
    </row>
    <row r="45" spans="1:11" ht="12" customHeight="1">
      <c r="A45" s="64"/>
      <c r="B45" s="19">
        <v>5553486</v>
      </c>
      <c r="C45" s="20">
        <v>0.3</v>
      </c>
      <c r="D45" s="19">
        <v>5926356.6600000001</v>
      </c>
      <c r="E45" s="20">
        <v>6.7</v>
      </c>
      <c r="F45" s="19">
        <v>5265085.2699999996</v>
      </c>
      <c r="G45" s="20">
        <v>-11.158144</v>
      </c>
      <c r="H45" s="19">
        <v>5229187.7300000004</v>
      </c>
      <c r="I45" s="20">
        <v>-0.68180399999999997</v>
      </c>
      <c r="J45" s="19">
        <v>5119914.3</v>
      </c>
      <c r="K45" s="20">
        <v>-2.089683</v>
      </c>
    </row>
    <row r="46" spans="1:11" ht="12" customHeight="1">
      <c r="A46" s="64" t="s">
        <v>10</v>
      </c>
      <c r="B46" s="19"/>
      <c r="C46" s="20"/>
      <c r="D46" s="19"/>
      <c r="E46" s="20"/>
      <c r="F46" s="19"/>
      <c r="G46" s="20"/>
      <c r="H46" s="19"/>
      <c r="I46" s="20"/>
      <c r="J46" s="19"/>
      <c r="K46" s="20"/>
    </row>
    <row r="47" spans="1:11" ht="12" customHeight="1" thickBot="1">
      <c r="A47" s="65"/>
      <c r="B47" s="22">
        <v>1114449.42</v>
      </c>
      <c r="C47" s="23">
        <v>6.5</v>
      </c>
      <c r="D47" s="22">
        <v>987117.51</v>
      </c>
      <c r="E47" s="23">
        <v>-11.4</v>
      </c>
      <c r="F47" s="22">
        <v>1021357.56</v>
      </c>
      <c r="G47" s="23">
        <v>3.4686900000000001</v>
      </c>
      <c r="H47" s="22">
        <v>998875.11</v>
      </c>
      <c r="I47" s="23">
        <v>-2.2012320000000001</v>
      </c>
      <c r="J47" s="22">
        <v>1038270.87</v>
      </c>
      <c r="K47" s="23">
        <v>3.944013</v>
      </c>
    </row>
    <row r="48" spans="1:11" ht="11.9" customHeight="1">
      <c r="A48" s="12"/>
      <c r="B48" s="13"/>
      <c r="C48" s="14"/>
      <c r="D48" s="13"/>
      <c r="E48" s="14"/>
      <c r="F48" s="13"/>
      <c r="G48" s="14"/>
      <c r="H48" s="13"/>
      <c r="I48" s="14"/>
      <c r="J48" s="13"/>
      <c r="K48" s="14"/>
    </row>
    <row r="49" spans="1:11" ht="11.9" customHeight="1">
      <c r="A49" s="12"/>
      <c r="B49" s="13"/>
      <c r="C49" s="14"/>
      <c r="D49" s="13"/>
      <c r="E49" s="14"/>
      <c r="F49" s="13"/>
      <c r="G49" s="14"/>
      <c r="H49" s="13"/>
      <c r="I49" s="14"/>
      <c r="J49" s="13"/>
      <c r="K49" s="14"/>
    </row>
    <row r="50" spans="1:11" ht="11.9" customHeight="1">
      <c r="A50" s="12"/>
      <c r="B50" s="13"/>
      <c r="C50" s="14"/>
      <c r="D50" s="13"/>
      <c r="E50" s="14"/>
      <c r="F50" s="13"/>
      <c r="G50" s="14"/>
      <c r="H50" s="13"/>
      <c r="I50" s="14"/>
      <c r="J50" s="13"/>
      <c r="K50" s="14"/>
    </row>
    <row r="51" spans="1:11" ht="11.9" customHeight="1">
      <c r="A51" s="24"/>
      <c r="B51" s="13"/>
      <c r="C51" s="14"/>
      <c r="D51" s="13"/>
      <c r="E51" s="14"/>
      <c r="F51" s="13"/>
      <c r="G51" s="14"/>
      <c r="H51" s="13"/>
      <c r="I51" s="14"/>
      <c r="J51" s="13"/>
      <c r="K51" s="14"/>
    </row>
    <row r="52" spans="1:11" ht="11.9" customHeight="1">
      <c r="A52" s="12"/>
      <c r="B52" s="13"/>
      <c r="C52" s="14"/>
      <c r="D52" s="13"/>
      <c r="E52" s="14"/>
      <c r="F52" s="13"/>
      <c r="G52" s="14"/>
      <c r="H52" s="13"/>
      <c r="I52" s="14"/>
      <c r="J52" s="13"/>
      <c r="K52" s="14"/>
    </row>
    <row r="53" spans="1:11" ht="11.9" customHeight="1">
      <c r="A53" s="12"/>
      <c r="B53" s="13"/>
      <c r="C53" s="14"/>
      <c r="D53" s="13"/>
      <c r="E53" s="14"/>
      <c r="F53" s="13"/>
      <c r="G53" s="14"/>
      <c r="H53" s="13"/>
      <c r="I53" s="14"/>
      <c r="J53" s="13"/>
      <c r="K53" s="14"/>
    </row>
    <row r="54" spans="1:11" ht="11.9" customHeight="1">
      <c r="A54" s="12"/>
      <c r="B54" s="13"/>
      <c r="C54" s="14"/>
      <c r="D54" s="13"/>
      <c r="E54" s="14"/>
      <c r="F54" s="13"/>
      <c r="G54" s="14"/>
      <c r="H54" s="13"/>
      <c r="I54" s="14"/>
      <c r="J54" s="13"/>
      <c r="K54" s="14"/>
    </row>
    <row r="55" spans="1:11" ht="11.9" customHeight="1">
      <c r="A55" s="12"/>
      <c r="B55" s="13"/>
      <c r="C55" s="14"/>
      <c r="D55" s="13"/>
      <c r="E55" s="14"/>
      <c r="F55" s="13"/>
      <c r="G55" s="14"/>
      <c r="H55" s="13"/>
      <c r="I55" s="14"/>
      <c r="J55" s="13"/>
      <c r="K55" s="14"/>
    </row>
    <row r="56" spans="1:11" ht="11.9" customHeight="1">
      <c r="A56" s="12"/>
      <c r="B56" s="13"/>
      <c r="C56" s="14"/>
      <c r="D56" s="13"/>
      <c r="E56" s="14"/>
      <c r="F56" s="13"/>
      <c r="G56" s="14"/>
      <c r="H56" s="13"/>
      <c r="I56" s="14"/>
      <c r="J56" s="13"/>
      <c r="K56" s="14"/>
    </row>
    <row r="57" spans="1:11" ht="11.9" customHeight="1">
      <c r="A57" s="12"/>
      <c r="B57" s="13"/>
      <c r="C57" s="14"/>
      <c r="D57" s="13"/>
      <c r="E57" s="14"/>
      <c r="F57" s="13"/>
      <c r="G57" s="14"/>
      <c r="H57" s="13"/>
      <c r="I57" s="14"/>
      <c r="J57" s="13"/>
      <c r="K57" s="14"/>
    </row>
    <row r="58" spans="1:11" ht="11.9" customHeight="1">
      <c r="A58" s="12"/>
      <c r="B58" s="13"/>
      <c r="C58" s="14"/>
      <c r="D58" s="13"/>
      <c r="E58" s="14"/>
      <c r="F58" s="13"/>
      <c r="G58" s="14"/>
      <c r="H58" s="13"/>
      <c r="I58" s="14"/>
      <c r="J58" s="13"/>
      <c r="K58" s="14"/>
    </row>
    <row r="59" spans="1:11" ht="11.9" customHeight="1">
      <c r="A59" s="12"/>
      <c r="B59" s="13"/>
      <c r="C59" s="14"/>
      <c r="D59" s="13"/>
      <c r="E59" s="14"/>
      <c r="F59" s="13"/>
      <c r="G59" s="14"/>
      <c r="H59" s="13"/>
      <c r="I59" s="14"/>
      <c r="J59" s="13"/>
      <c r="K59" s="14"/>
    </row>
    <row r="60" spans="1:11" ht="11.9" customHeight="1">
      <c r="A60" s="12"/>
      <c r="B60" s="13"/>
      <c r="C60" s="14"/>
      <c r="D60" s="13"/>
      <c r="E60" s="14"/>
      <c r="F60" s="13"/>
      <c r="G60" s="14"/>
      <c r="H60" s="13"/>
      <c r="I60" s="14"/>
      <c r="J60" s="13"/>
      <c r="K60" s="14"/>
    </row>
    <row r="61" spans="1:11" ht="11.9" customHeight="1">
      <c r="A61" s="12"/>
      <c r="B61" s="13"/>
      <c r="C61" s="14"/>
      <c r="D61" s="13"/>
      <c r="E61" s="14"/>
      <c r="F61" s="13"/>
      <c r="G61" s="14"/>
      <c r="H61" s="13"/>
      <c r="I61" s="14"/>
      <c r="J61" s="13"/>
      <c r="K61" s="14"/>
    </row>
    <row r="62" spans="1:11" ht="11.9" customHeight="1">
      <c r="A62" s="12"/>
      <c r="B62" s="13"/>
      <c r="C62" s="14"/>
      <c r="D62" s="13"/>
      <c r="E62" s="14"/>
      <c r="F62" s="13"/>
      <c r="G62" s="14"/>
      <c r="H62" s="13"/>
      <c r="I62" s="14"/>
      <c r="J62" s="13"/>
      <c r="K62" s="14"/>
    </row>
    <row r="63" spans="1:11" ht="11.9" customHeight="1">
      <c r="A63" s="12"/>
      <c r="B63" s="13"/>
      <c r="C63" s="14"/>
      <c r="D63" s="13"/>
      <c r="E63" s="14"/>
      <c r="F63" s="13"/>
      <c r="G63" s="14"/>
      <c r="H63" s="13"/>
      <c r="I63" s="14"/>
      <c r="J63" s="13"/>
      <c r="K63" s="14"/>
    </row>
    <row r="64" spans="1:11" ht="11.9" customHeight="1">
      <c r="A64" s="12"/>
      <c r="B64" s="13"/>
      <c r="C64" s="14"/>
      <c r="D64" s="13"/>
      <c r="E64" s="14"/>
      <c r="F64" s="13"/>
      <c r="G64" s="14"/>
      <c r="H64" s="13"/>
      <c r="I64" s="14"/>
      <c r="J64" s="13"/>
      <c r="K64" s="14"/>
    </row>
    <row r="65" spans="1:11" ht="11.9" customHeight="1">
      <c r="A65" s="12"/>
      <c r="B65" s="13"/>
      <c r="C65" s="14"/>
      <c r="D65" s="13"/>
      <c r="E65" s="14"/>
      <c r="F65" s="13"/>
      <c r="G65" s="14"/>
      <c r="H65" s="13"/>
      <c r="I65" s="14"/>
      <c r="J65" s="13"/>
      <c r="K65" s="14"/>
    </row>
    <row r="66" spans="1:11" ht="11.9" customHeight="1">
      <c r="A66" s="12"/>
      <c r="B66" s="13"/>
      <c r="C66" s="14"/>
      <c r="D66" s="13"/>
      <c r="E66" s="14"/>
      <c r="F66" s="13"/>
      <c r="G66" s="14"/>
      <c r="H66" s="13"/>
      <c r="I66" s="14"/>
      <c r="J66" s="13"/>
      <c r="K66" s="14"/>
    </row>
    <row r="67" spans="1:11" ht="11.9" customHeight="1">
      <c r="A67" s="12"/>
      <c r="B67" s="13"/>
      <c r="C67" s="14"/>
      <c r="D67" s="13"/>
      <c r="E67" s="14"/>
      <c r="F67" s="13"/>
      <c r="G67" s="14"/>
      <c r="H67" s="13"/>
      <c r="I67" s="14"/>
      <c r="J67" s="13"/>
      <c r="K67" s="14"/>
    </row>
    <row r="68" spans="1:11" ht="11.9" customHeight="1">
      <c r="A68" s="12"/>
      <c r="B68" s="13"/>
      <c r="C68" s="14"/>
      <c r="D68" s="13"/>
      <c r="E68" s="14"/>
      <c r="F68" s="13"/>
      <c r="G68" s="14"/>
      <c r="H68" s="13"/>
      <c r="I68" s="14"/>
      <c r="J68" s="13"/>
      <c r="K68" s="14"/>
    </row>
    <row r="69" spans="1:11" ht="11.9" customHeight="1">
      <c r="A69" s="12"/>
      <c r="B69" s="13"/>
      <c r="C69" s="14"/>
      <c r="D69" s="13"/>
      <c r="E69" s="14"/>
      <c r="F69" s="13"/>
      <c r="G69" s="14"/>
      <c r="H69" s="13"/>
      <c r="I69" s="14"/>
      <c r="J69" s="13"/>
      <c r="K69" s="14"/>
    </row>
    <row r="70" spans="1:11" ht="11.9" customHeight="1">
      <c r="A70" s="12"/>
      <c r="B70" s="13"/>
      <c r="C70" s="14"/>
      <c r="D70" s="13"/>
      <c r="E70" s="14"/>
      <c r="F70" s="13"/>
      <c r="G70" s="14"/>
      <c r="H70" s="13"/>
      <c r="I70" s="14"/>
      <c r="J70" s="13"/>
      <c r="K70" s="14"/>
    </row>
    <row r="71" spans="1:11" ht="11.9" customHeight="1">
      <c r="A71" s="12"/>
      <c r="B71" s="13"/>
      <c r="C71" s="14"/>
      <c r="D71" s="13"/>
      <c r="E71" s="14"/>
      <c r="F71" s="13"/>
      <c r="G71" s="14"/>
      <c r="H71" s="13"/>
      <c r="I71" s="14"/>
      <c r="J71" s="13"/>
      <c r="K71" s="14"/>
    </row>
    <row r="72" spans="1:11" ht="11.9" customHeight="1">
      <c r="A72" s="12"/>
      <c r="B72" s="13"/>
      <c r="C72" s="14"/>
      <c r="D72" s="13"/>
      <c r="E72" s="14"/>
      <c r="F72" s="13"/>
      <c r="G72" s="14"/>
      <c r="H72" s="13"/>
      <c r="I72" s="14"/>
      <c r="J72" s="13"/>
      <c r="K72" s="14"/>
    </row>
    <row r="73" spans="1:11" ht="11.9" customHeight="1"/>
    <row r="74" spans="1:11" ht="11.9" customHeight="1"/>
    <row r="75" spans="1:11" ht="11.9" customHeight="1"/>
    <row r="76" spans="1:11" ht="11.9" customHeight="1"/>
    <row r="77" spans="1:11" ht="11.9" customHeight="1"/>
    <row r="78" spans="1:11" ht="11.9" customHeight="1"/>
    <row r="79" spans="1:11" ht="11.9" customHeight="1"/>
    <row r="80" spans="1:11" ht="11.9" customHeight="1"/>
    <row r="81" ht="11.9" customHeight="1"/>
    <row r="82" ht="11.9" customHeight="1"/>
    <row r="83" ht="11.9" customHeight="1"/>
    <row r="84" ht="11.9" customHeight="1"/>
    <row r="85" ht="11.9" customHeight="1"/>
    <row r="86" ht="11.9" customHeight="1"/>
    <row r="87" ht="11.9" customHeight="1"/>
    <row r="88" ht="11.9" customHeight="1"/>
    <row r="89" ht="11.9" customHeight="1"/>
    <row r="90" ht="11.9" customHeight="1"/>
    <row r="91" ht="11.9" customHeight="1"/>
    <row r="92" ht="11.9" customHeight="1"/>
    <row r="93" ht="11.9" customHeight="1"/>
    <row r="94" ht="11.9" customHeight="1"/>
    <row r="95" ht="11.9" customHeight="1"/>
    <row r="96" ht="11.9" customHeight="1"/>
    <row r="97" ht="11.9" customHeight="1"/>
    <row r="98" ht="11.9" customHeight="1"/>
    <row r="99" ht="11.9" customHeight="1"/>
    <row r="100" ht="11.9" customHeight="1"/>
    <row r="115" spans="1:10">
      <c r="A115" s="10"/>
      <c r="B115" s="11"/>
      <c r="D115" s="11"/>
      <c r="F115" s="11"/>
      <c r="H115" s="11"/>
      <c r="J115" s="11"/>
    </row>
    <row r="116" spans="1:10">
      <c r="A116" s="12"/>
      <c r="B116" s="13"/>
      <c r="D116" s="13"/>
      <c r="F116" s="13"/>
      <c r="H116" s="13"/>
      <c r="J116" s="13"/>
    </row>
    <row r="117" spans="1:10">
      <c r="A117" s="14"/>
      <c r="B117" s="13"/>
      <c r="D117" s="13"/>
      <c r="F117" s="13"/>
      <c r="H117" s="13"/>
      <c r="J117" s="13"/>
    </row>
    <row r="118" spans="1:10">
      <c r="A118" s="14"/>
      <c r="B118" s="13"/>
      <c r="D118" s="13"/>
      <c r="F118" s="13"/>
      <c r="H118" s="13"/>
      <c r="J118" s="13"/>
    </row>
    <row r="119" spans="1:10">
      <c r="A119" s="14"/>
      <c r="B119" s="13"/>
      <c r="D119" s="13"/>
      <c r="F119" s="13"/>
      <c r="H119" s="13"/>
      <c r="J119" s="13"/>
    </row>
    <row r="120" spans="1:10">
      <c r="A120" s="14"/>
      <c r="B120" s="13"/>
      <c r="D120" s="13"/>
      <c r="F120" s="13"/>
      <c r="H120" s="13"/>
      <c r="J120" s="13"/>
    </row>
    <row r="121" spans="1:10">
      <c r="A121" s="14"/>
      <c r="B121" s="13"/>
      <c r="D121" s="13"/>
      <c r="F121" s="13"/>
      <c r="H121" s="13"/>
      <c r="J121" s="13"/>
    </row>
    <row r="122" spans="1:10">
      <c r="A122" s="14"/>
      <c r="B122" s="13"/>
      <c r="D122" s="13"/>
      <c r="F122" s="13"/>
      <c r="H122" s="13"/>
      <c r="J122" s="13"/>
    </row>
    <row r="123" spans="1:10">
      <c r="A123" s="12"/>
      <c r="B123" s="13"/>
      <c r="D123" s="13"/>
      <c r="F123" s="13"/>
      <c r="H123" s="13"/>
      <c r="J123" s="13"/>
    </row>
    <row r="124" spans="1:10">
      <c r="A124" s="12"/>
      <c r="B124" s="13"/>
      <c r="D124" s="13"/>
      <c r="F124" s="13"/>
      <c r="H124" s="13"/>
      <c r="J124" s="13"/>
    </row>
    <row r="125" spans="1:10">
      <c r="A125" s="12"/>
      <c r="B125" s="13"/>
      <c r="D125" s="13"/>
      <c r="F125" s="13"/>
      <c r="H125" s="13"/>
      <c r="J125" s="13"/>
    </row>
    <row r="126" spans="1:10">
      <c r="A126" s="12"/>
      <c r="B126" s="13"/>
      <c r="D126" s="13"/>
      <c r="F126" s="13"/>
      <c r="H126" s="13"/>
      <c r="J126" s="13"/>
    </row>
    <row r="127" spans="1:10">
      <c r="A127" s="12"/>
      <c r="B127" s="13"/>
      <c r="D127" s="13"/>
      <c r="F127" s="13"/>
      <c r="H127" s="13"/>
      <c r="J127" s="13"/>
    </row>
    <row r="128" spans="1:10">
      <c r="A128" s="12"/>
      <c r="B128" s="13"/>
      <c r="D128" s="13"/>
      <c r="F128" s="13"/>
      <c r="H128" s="13"/>
      <c r="J128" s="13"/>
    </row>
    <row r="129" spans="1:10">
      <c r="A129" s="12"/>
      <c r="B129" s="13"/>
      <c r="D129" s="13"/>
      <c r="F129" s="13"/>
      <c r="H129" s="13"/>
      <c r="J129" s="13"/>
    </row>
    <row r="130" spans="1:10">
      <c r="A130" s="14"/>
      <c r="B130" s="13"/>
      <c r="D130" s="13"/>
      <c r="F130" s="13"/>
      <c r="H130" s="13"/>
      <c r="J130" s="13"/>
    </row>
    <row r="131" spans="1:10">
      <c r="A131" s="14"/>
      <c r="B131" s="13"/>
      <c r="D131" s="13"/>
      <c r="F131" s="13"/>
      <c r="H131" s="13"/>
      <c r="J131" s="13"/>
    </row>
  </sheetData>
  <mergeCells count="27">
    <mergeCell ref="A8:A9"/>
    <mergeCell ref="A10:A11"/>
    <mergeCell ref="A12:A13"/>
    <mergeCell ref="A14:A15"/>
    <mergeCell ref="B4:C4"/>
    <mergeCell ref="H4:I4"/>
    <mergeCell ref="A4:A5"/>
    <mergeCell ref="A6:A7"/>
    <mergeCell ref="A34:A35"/>
    <mergeCell ref="A20:A21"/>
    <mergeCell ref="A22:A23"/>
    <mergeCell ref="A24:A25"/>
    <mergeCell ref="A26:A27"/>
    <mergeCell ref="A16:A17"/>
    <mergeCell ref="A18:A19"/>
    <mergeCell ref="A30:A31"/>
    <mergeCell ref="A32:A33"/>
    <mergeCell ref="J4:K4"/>
    <mergeCell ref="A44:A45"/>
    <mergeCell ref="A46:A47"/>
    <mergeCell ref="D4:E4"/>
    <mergeCell ref="F4:G4"/>
    <mergeCell ref="A36:A37"/>
    <mergeCell ref="A38:A39"/>
    <mergeCell ref="A40:A41"/>
    <mergeCell ref="A42:A43"/>
    <mergeCell ref="A28:A29"/>
  </mergeCells>
  <phoneticPr fontId="2"/>
  <printOptions horizontalCentered="1"/>
  <pageMargins left="0.39370078740157483" right="0.39370078740157483" top="0.78740157480314965" bottom="0.59055118110236227" header="0.51181102362204722" footer="0.39370078740157483"/>
  <pageSetup paperSize="9" scale="76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AF302-BC37-4DE9-878F-B5298A86C563}">
  <sheetPr codeName="Sheet14">
    <pageSetUpPr fitToPage="1"/>
  </sheetPr>
  <dimension ref="A2:K131"/>
  <sheetViews>
    <sheetView showGridLines="0" zoomScaleNormal="100" zoomScaleSheetLayoutView="100" workbookViewId="0"/>
  </sheetViews>
  <sheetFormatPr defaultColWidth="10.296875" defaultRowHeight="11"/>
  <cols>
    <col min="1" max="1" width="35.59765625" style="1" customWidth="1"/>
    <col min="2" max="2" width="17.8984375" style="1" customWidth="1"/>
    <col min="3" max="3" width="8.69921875" style="1" customWidth="1"/>
    <col min="4" max="4" width="17.8984375" style="1" customWidth="1"/>
    <col min="5" max="5" width="8.69921875" style="1" customWidth="1"/>
    <col min="6" max="6" width="17.8984375" style="1" customWidth="1"/>
    <col min="7" max="7" width="8.69921875" style="1" customWidth="1"/>
    <col min="8" max="8" width="17.8984375" style="1" customWidth="1"/>
    <col min="9" max="9" width="8.69921875" style="1" customWidth="1"/>
    <col min="10" max="10" width="17.8984375" style="1" customWidth="1"/>
    <col min="11" max="11" width="8.69921875" style="1" customWidth="1"/>
    <col min="12" max="16384" width="10.296875" style="1"/>
  </cols>
  <sheetData>
    <row r="2" spans="1:11" ht="19">
      <c r="D2" s="2" t="s">
        <v>33</v>
      </c>
    </row>
    <row r="3" spans="1:11" ht="11.5" thickBot="1">
      <c r="K3" s="3" t="s">
        <v>13</v>
      </c>
    </row>
    <row r="4" spans="1:11" ht="12" customHeight="1" thickBot="1">
      <c r="A4" s="67" t="s">
        <v>2</v>
      </c>
      <c r="B4" s="62">
        <v>1999</v>
      </c>
      <c r="C4" s="62"/>
      <c r="D4" s="62">
        <v>2000</v>
      </c>
      <c r="E4" s="63"/>
      <c r="F4" s="62">
        <v>2001</v>
      </c>
      <c r="G4" s="63"/>
      <c r="H4" s="62">
        <v>2002</v>
      </c>
      <c r="I4" s="63"/>
      <c r="J4" s="62">
        <v>2003</v>
      </c>
      <c r="K4" s="63"/>
    </row>
    <row r="5" spans="1:11" ht="25" customHeight="1" thickBot="1">
      <c r="A5" s="69"/>
      <c r="B5" s="15"/>
      <c r="C5" s="16" t="s">
        <v>14</v>
      </c>
      <c r="D5" s="15"/>
      <c r="E5" s="16" t="s">
        <v>14</v>
      </c>
      <c r="F5" s="15"/>
      <c r="G5" s="16" t="s">
        <v>14</v>
      </c>
      <c r="H5" s="15"/>
      <c r="I5" s="16" t="s">
        <v>14</v>
      </c>
      <c r="J5" s="15"/>
      <c r="K5" s="16" t="s">
        <v>14</v>
      </c>
    </row>
    <row r="6" spans="1:11" ht="12" customHeight="1">
      <c r="A6" s="66" t="s">
        <v>15</v>
      </c>
      <c r="B6" s="17"/>
      <c r="C6" s="25"/>
      <c r="D6" s="17"/>
      <c r="E6" s="25"/>
      <c r="F6" s="17"/>
      <c r="G6" s="25"/>
      <c r="H6" s="17"/>
      <c r="I6" s="25"/>
      <c r="J6" s="17"/>
      <c r="K6" s="25"/>
    </row>
    <row r="7" spans="1:11" ht="12" customHeight="1">
      <c r="A7" s="64"/>
      <c r="B7" s="19">
        <v>269233</v>
      </c>
      <c r="C7" s="26">
        <v>27.2</v>
      </c>
      <c r="D7" s="19">
        <v>358660.04</v>
      </c>
      <c r="E7" s="26">
        <v>33.200000000000003</v>
      </c>
      <c r="F7" s="19">
        <v>282469.44</v>
      </c>
      <c r="G7" s="26">
        <v>-21.262829</v>
      </c>
      <c r="H7" s="19">
        <v>310049.11</v>
      </c>
      <c r="I7" s="26">
        <v>9.7637710000000002</v>
      </c>
      <c r="J7" s="19">
        <v>361988.66</v>
      </c>
      <c r="K7" s="26">
        <v>16.752040000000001</v>
      </c>
    </row>
    <row r="8" spans="1:11" ht="12" customHeight="1">
      <c r="A8" s="64" t="s">
        <v>16</v>
      </c>
      <c r="B8" s="19"/>
      <c r="C8" s="26"/>
      <c r="D8" s="19"/>
      <c r="E8" s="26"/>
      <c r="F8" s="19"/>
      <c r="G8" s="26"/>
      <c r="H8" s="19"/>
      <c r="I8" s="26"/>
      <c r="J8" s="19"/>
      <c r="K8" s="26"/>
    </row>
    <row r="9" spans="1:11" ht="12" customHeight="1">
      <c r="A9" s="64"/>
      <c r="B9" s="19">
        <v>112965.67</v>
      </c>
      <c r="C9" s="26">
        <v>24.9</v>
      </c>
      <c r="D9" s="19">
        <v>164259.38</v>
      </c>
      <c r="E9" s="26">
        <v>45.4</v>
      </c>
      <c r="F9" s="19">
        <v>106166.15</v>
      </c>
      <c r="G9" s="26">
        <v>-35.361238</v>
      </c>
      <c r="H9" s="19">
        <v>121390.92</v>
      </c>
      <c r="I9" s="26">
        <v>14.340512</v>
      </c>
      <c r="J9" s="19">
        <v>150863.20000000001</v>
      </c>
      <c r="K9" s="26">
        <v>24.278818000000001</v>
      </c>
    </row>
    <row r="10" spans="1:11" ht="12" customHeight="1">
      <c r="A10" s="64" t="s">
        <v>17</v>
      </c>
      <c r="B10" s="19"/>
      <c r="C10" s="26"/>
      <c r="D10" s="19"/>
      <c r="E10" s="26"/>
      <c r="F10" s="19"/>
      <c r="G10" s="26"/>
      <c r="H10" s="19"/>
      <c r="I10" s="26"/>
      <c r="J10" s="19"/>
      <c r="K10" s="26"/>
    </row>
    <row r="11" spans="1:11" ht="12" customHeight="1">
      <c r="A11" s="64"/>
      <c r="B11" s="19">
        <v>17699.21</v>
      </c>
      <c r="C11" s="26">
        <v>42.8</v>
      </c>
      <c r="D11" s="19">
        <v>15713.81</v>
      </c>
      <c r="E11" s="26">
        <v>-11.2</v>
      </c>
      <c r="F11" s="19">
        <v>12635.33</v>
      </c>
      <c r="G11" s="26">
        <v>-19.590920000000001</v>
      </c>
      <c r="H11" s="19">
        <v>12701.89</v>
      </c>
      <c r="I11" s="26">
        <v>0.52677700000000005</v>
      </c>
      <c r="J11" s="19">
        <v>13350.06</v>
      </c>
      <c r="K11" s="26">
        <v>5.1029410000000004</v>
      </c>
    </row>
    <row r="12" spans="1:11" ht="12" customHeight="1">
      <c r="A12" s="64" t="s">
        <v>18</v>
      </c>
      <c r="B12" s="19"/>
      <c r="C12" s="26"/>
      <c r="D12" s="19"/>
      <c r="E12" s="26"/>
      <c r="F12" s="19"/>
      <c r="G12" s="26"/>
      <c r="H12" s="19"/>
      <c r="I12" s="26"/>
      <c r="J12" s="19"/>
      <c r="K12" s="26"/>
    </row>
    <row r="13" spans="1:11" ht="12" customHeight="1">
      <c r="A13" s="64"/>
      <c r="B13" s="19">
        <v>6699.04</v>
      </c>
      <c r="C13" s="26">
        <v>13.4</v>
      </c>
      <c r="D13" s="19">
        <v>6883.88</v>
      </c>
      <c r="E13" s="26">
        <v>2.8</v>
      </c>
      <c r="F13" s="19">
        <v>5695.58</v>
      </c>
      <c r="G13" s="26">
        <v>-16.895848999999998</v>
      </c>
      <c r="H13" s="19">
        <v>4813.1499999999996</v>
      </c>
      <c r="I13" s="26">
        <v>-15.493242</v>
      </c>
      <c r="J13" s="19">
        <v>6627.98</v>
      </c>
      <c r="K13" s="26">
        <v>37.705660999999999</v>
      </c>
    </row>
    <row r="14" spans="1:11" ht="12" customHeight="1">
      <c r="A14" s="64" t="s">
        <v>19</v>
      </c>
      <c r="B14" s="19"/>
      <c r="C14" s="26"/>
      <c r="D14" s="19"/>
      <c r="E14" s="26"/>
      <c r="F14" s="19"/>
      <c r="G14" s="26"/>
      <c r="H14" s="19"/>
      <c r="I14" s="26"/>
      <c r="J14" s="19"/>
      <c r="K14" s="26"/>
    </row>
    <row r="15" spans="1:11" ht="12" customHeight="1">
      <c r="A15" s="64"/>
      <c r="B15" s="19">
        <v>26575.360000000001</v>
      </c>
      <c r="C15" s="26">
        <v>16.5</v>
      </c>
      <c r="D15" s="19">
        <v>31280.7</v>
      </c>
      <c r="E15" s="26">
        <v>17.7</v>
      </c>
      <c r="F15" s="19">
        <v>26041.65</v>
      </c>
      <c r="G15" s="26">
        <v>-16.754612000000002</v>
      </c>
      <c r="H15" s="19">
        <v>27441.75</v>
      </c>
      <c r="I15" s="26">
        <v>5.3763870000000002</v>
      </c>
      <c r="J15" s="19">
        <v>28129.62</v>
      </c>
      <c r="K15" s="26">
        <v>2.5066549999999999</v>
      </c>
    </row>
    <row r="16" spans="1:11" ht="12" customHeight="1">
      <c r="A16" s="64" t="s">
        <v>20</v>
      </c>
      <c r="B16" s="19"/>
      <c r="C16" s="26"/>
      <c r="D16" s="19"/>
      <c r="E16" s="26"/>
      <c r="F16" s="19"/>
      <c r="G16" s="26"/>
      <c r="H16" s="19"/>
      <c r="I16" s="26"/>
      <c r="J16" s="19"/>
      <c r="K16" s="26"/>
    </row>
    <row r="17" spans="1:11" ht="12" customHeight="1">
      <c r="A17" s="64"/>
      <c r="B17" s="19">
        <v>3591.67</v>
      </c>
      <c r="C17" s="26">
        <v>100.8</v>
      </c>
      <c r="D17" s="19">
        <v>5506.26</v>
      </c>
      <c r="E17" s="26">
        <v>53.3</v>
      </c>
      <c r="F17" s="19">
        <v>4787.79</v>
      </c>
      <c r="G17" s="26">
        <v>-13.088557</v>
      </c>
      <c r="H17" s="19">
        <v>3542.94</v>
      </c>
      <c r="I17" s="26">
        <v>-26.000513999999999</v>
      </c>
      <c r="J17" s="19">
        <v>5637.51</v>
      </c>
      <c r="K17" s="26">
        <v>59.119545000000002</v>
      </c>
    </row>
    <row r="18" spans="1:11" ht="12" customHeight="1">
      <c r="A18" s="64" t="s">
        <v>21</v>
      </c>
      <c r="B18" s="19"/>
      <c r="C18" s="26"/>
      <c r="D18" s="19"/>
      <c r="E18" s="26"/>
      <c r="F18" s="19"/>
      <c r="G18" s="26"/>
      <c r="H18" s="19"/>
      <c r="I18" s="26"/>
      <c r="J18" s="19"/>
      <c r="K18" s="26"/>
    </row>
    <row r="19" spans="1:11" ht="12" customHeight="1">
      <c r="A19" s="64"/>
      <c r="B19" s="19">
        <v>4332.24</v>
      </c>
      <c r="C19" s="26">
        <v>-14.6</v>
      </c>
      <c r="D19" s="19">
        <v>11315.84</v>
      </c>
      <c r="E19" s="26">
        <v>161.19999999999999</v>
      </c>
      <c r="F19" s="19">
        <v>7183.78</v>
      </c>
      <c r="G19" s="26">
        <v>-36.515715999999998</v>
      </c>
      <c r="H19" s="19">
        <v>6156.5</v>
      </c>
      <c r="I19" s="26">
        <v>-14.299992</v>
      </c>
      <c r="J19" s="19">
        <v>10790.9</v>
      </c>
      <c r="K19" s="26">
        <v>75.276537000000005</v>
      </c>
    </row>
    <row r="20" spans="1:11" ht="12" customHeight="1">
      <c r="A20" s="64" t="s">
        <v>22</v>
      </c>
      <c r="B20" s="19"/>
      <c r="C20" s="26"/>
      <c r="D20" s="19"/>
      <c r="E20" s="26"/>
      <c r="F20" s="19"/>
      <c r="G20" s="26"/>
      <c r="H20" s="19"/>
      <c r="I20" s="26"/>
      <c r="J20" s="19"/>
      <c r="K20" s="26"/>
    </row>
    <row r="21" spans="1:11" ht="12" customHeight="1">
      <c r="A21" s="64"/>
      <c r="B21" s="19">
        <v>18988.490000000002</v>
      </c>
      <c r="C21" s="26">
        <v>53.4</v>
      </c>
      <c r="D21" s="19">
        <v>35471.870000000003</v>
      </c>
      <c r="E21" s="26">
        <v>86.8</v>
      </c>
      <c r="F21" s="19">
        <v>761.01</v>
      </c>
      <c r="G21" s="26">
        <v>-97.816411000000002</v>
      </c>
      <c r="H21" s="19">
        <v>11926.37</v>
      </c>
      <c r="I21" s="26">
        <v>1467.1765150000001</v>
      </c>
      <c r="J21" s="19">
        <v>21392.21</v>
      </c>
      <c r="K21" s="26">
        <v>79.368994999999998</v>
      </c>
    </row>
    <row r="22" spans="1:11" ht="12" customHeight="1">
      <c r="A22" s="64" t="s">
        <v>23</v>
      </c>
      <c r="B22" s="19"/>
      <c r="C22" s="26"/>
      <c r="D22" s="19"/>
      <c r="E22" s="26"/>
      <c r="F22" s="19"/>
      <c r="G22" s="26"/>
      <c r="H22" s="19"/>
      <c r="I22" s="26"/>
      <c r="J22" s="19"/>
      <c r="K22" s="26"/>
    </row>
    <row r="23" spans="1:11" ht="12" customHeight="1">
      <c r="A23" s="64"/>
      <c r="B23" s="19">
        <v>12921.79</v>
      </c>
      <c r="C23" s="26">
        <v>-8.4</v>
      </c>
      <c r="D23" s="19">
        <v>16706.87</v>
      </c>
      <c r="E23" s="26">
        <v>29.3</v>
      </c>
      <c r="F23" s="19">
        <v>20729.919999999998</v>
      </c>
      <c r="G23" s="26">
        <v>24.015989000000001</v>
      </c>
      <c r="H23" s="19">
        <v>23653.52</v>
      </c>
      <c r="I23" s="26">
        <v>14.103286000000001</v>
      </c>
      <c r="J23" s="19">
        <v>27960.91</v>
      </c>
      <c r="K23" s="26">
        <v>18.210355</v>
      </c>
    </row>
    <row r="24" spans="1:11" ht="12" customHeight="1">
      <c r="A24" s="64" t="s">
        <v>24</v>
      </c>
      <c r="B24" s="19"/>
      <c r="C24" s="26"/>
      <c r="D24" s="19"/>
      <c r="E24" s="26"/>
      <c r="F24" s="19"/>
      <c r="G24" s="26"/>
      <c r="H24" s="19"/>
      <c r="I24" s="26"/>
      <c r="J24" s="19"/>
      <c r="K24" s="26"/>
    </row>
    <row r="25" spans="1:11" ht="12" customHeight="1">
      <c r="A25" s="64"/>
      <c r="B25" s="19">
        <v>156267.32999999999</v>
      </c>
      <c r="C25" s="26">
        <v>28.9</v>
      </c>
      <c r="D25" s="19">
        <v>194400.66</v>
      </c>
      <c r="E25" s="26">
        <v>24.4</v>
      </c>
      <c r="F25" s="19">
        <v>176303.29</v>
      </c>
      <c r="G25" s="26">
        <v>-9.350339</v>
      </c>
      <c r="H25" s="19">
        <v>188658.19</v>
      </c>
      <c r="I25" s="26">
        <v>7.0077540000000003</v>
      </c>
      <c r="J25" s="19">
        <v>211125.46</v>
      </c>
      <c r="K25" s="26">
        <v>11.908982</v>
      </c>
    </row>
    <row r="26" spans="1:11" ht="12" customHeight="1">
      <c r="A26" s="64" t="s">
        <v>25</v>
      </c>
      <c r="B26" s="19"/>
      <c r="C26" s="26"/>
      <c r="D26" s="19"/>
      <c r="E26" s="26"/>
      <c r="F26" s="19"/>
      <c r="G26" s="26"/>
      <c r="H26" s="19"/>
      <c r="I26" s="26"/>
      <c r="J26" s="19"/>
      <c r="K26" s="26"/>
    </row>
    <row r="27" spans="1:11" ht="12" customHeight="1">
      <c r="A27" s="64"/>
      <c r="B27" s="19">
        <v>22096.35</v>
      </c>
      <c r="C27" s="26">
        <v>-9.6</v>
      </c>
      <c r="D27" s="19">
        <v>23240.06</v>
      </c>
      <c r="E27" s="26">
        <v>5.2</v>
      </c>
      <c r="F27" s="19">
        <v>18948.810000000001</v>
      </c>
      <c r="G27" s="26">
        <v>-18.467981999999999</v>
      </c>
      <c r="H27" s="19">
        <v>18124.439999999999</v>
      </c>
      <c r="I27" s="26">
        <v>-4.350511</v>
      </c>
      <c r="J27" s="19">
        <v>19883.37</v>
      </c>
      <c r="K27" s="26">
        <v>9.7047410000000003</v>
      </c>
    </row>
    <row r="28" spans="1:11" ht="12" customHeight="1">
      <c r="A28" s="64" t="s">
        <v>26</v>
      </c>
      <c r="B28" s="19"/>
      <c r="C28" s="26"/>
      <c r="D28" s="19"/>
      <c r="E28" s="26"/>
      <c r="F28" s="19"/>
      <c r="G28" s="26"/>
      <c r="H28" s="19"/>
      <c r="I28" s="26"/>
      <c r="J28" s="19"/>
      <c r="K28" s="26"/>
    </row>
    <row r="29" spans="1:11" ht="12" customHeight="1">
      <c r="A29" s="64"/>
      <c r="B29" s="19">
        <v>52545.26</v>
      </c>
      <c r="C29" s="26">
        <v>43.5</v>
      </c>
      <c r="D29" s="19">
        <v>64585.81</v>
      </c>
      <c r="E29" s="26">
        <v>22.9</v>
      </c>
      <c r="F29" s="19">
        <v>55852.03</v>
      </c>
      <c r="G29" s="26">
        <v>-13.546195000000001</v>
      </c>
      <c r="H29" s="19">
        <v>59411.82</v>
      </c>
      <c r="I29" s="26">
        <v>6.3736090000000001</v>
      </c>
      <c r="J29" s="19">
        <v>68054.350000000006</v>
      </c>
      <c r="K29" s="26">
        <v>14.546818999999999</v>
      </c>
    </row>
    <row r="30" spans="1:11" ht="12" customHeight="1">
      <c r="A30" s="64" t="s">
        <v>27</v>
      </c>
      <c r="B30" s="19"/>
      <c r="C30" s="26"/>
      <c r="D30" s="19"/>
      <c r="E30" s="26"/>
      <c r="F30" s="19"/>
      <c r="G30" s="26"/>
      <c r="H30" s="19"/>
      <c r="I30" s="26"/>
      <c r="J30" s="19"/>
      <c r="K30" s="26"/>
    </row>
    <row r="31" spans="1:11" ht="12" customHeight="1">
      <c r="A31" s="64"/>
      <c r="B31" s="19">
        <v>10989.7</v>
      </c>
      <c r="C31" s="26">
        <v>153.6</v>
      </c>
      <c r="D31" s="19">
        <v>15730.05</v>
      </c>
      <c r="E31" s="26">
        <v>43.1</v>
      </c>
      <c r="F31" s="19">
        <v>19391.02</v>
      </c>
      <c r="G31" s="26">
        <v>23.272144999999998</v>
      </c>
      <c r="H31" s="19">
        <v>23880.22</v>
      </c>
      <c r="I31" s="26">
        <v>23.150922000000001</v>
      </c>
      <c r="J31" s="19">
        <v>17584.490000000002</v>
      </c>
      <c r="K31" s="26">
        <v>-26.363786000000001</v>
      </c>
    </row>
    <row r="32" spans="1:11" ht="12" customHeight="1">
      <c r="A32" s="64" t="s">
        <v>28</v>
      </c>
      <c r="B32" s="19"/>
      <c r="C32" s="26"/>
      <c r="D32" s="19"/>
      <c r="E32" s="26"/>
      <c r="F32" s="19"/>
      <c r="G32" s="26"/>
      <c r="H32" s="19"/>
      <c r="I32" s="26"/>
      <c r="J32" s="19"/>
      <c r="K32" s="26"/>
    </row>
    <row r="33" spans="1:11" ht="12" customHeight="1">
      <c r="A33" s="64"/>
      <c r="B33" s="19">
        <v>19882.669999999998</v>
      </c>
      <c r="C33" s="26">
        <v>1.7</v>
      </c>
      <c r="D33" s="19">
        <v>24545.02</v>
      </c>
      <c r="E33" s="26">
        <v>23.4</v>
      </c>
      <c r="F33" s="19">
        <v>20578.91</v>
      </c>
      <c r="G33" s="26">
        <v>-16.166374999999999</v>
      </c>
      <c r="H33" s="19">
        <v>34395.82</v>
      </c>
      <c r="I33" s="26">
        <v>67.141116999999994</v>
      </c>
      <c r="J33" s="19">
        <v>36492.47</v>
      </c>
      <c r="K33" s="26">
        <v>6.0956530000000004</v>
      </c>
    </row>
    <row r="34" spans="1:11" ht="12" customHeight="1">
      <c r="A34" s="64" t="s">
        <v>29</v>
      </c>
      <c r="B34" s="19"/>
      <c r="C34" s="26"/>
      <c r="D34" s="19"/>
      <c r="E34" s="26"/>
      <c r="F34" s="19"/>
      <c r="G34" s="26"/>
      <c r="H34" s="19"/>
      <c r="I34" s="26"/>
      <c r="J34" s="19"/>
      <c r="K34" s="26"/>
    </row>
    <row r="35" spans="1:11" ht="12" customHeight="1">
      <c r="A35" s="64"/>
      <c r="B35" s="19">
        <v>10154.34</v>
      </c>
      <c r="C35" s="26">
        <v>43</v>
      </c>
      <c r="D35" s="19">
        <v>10901.46</v>
      </c>
      <c r="E35" s="26">
        <v>7.4</v>
      </c>
      <c r="F35" s="19">
        <v>10366.540000000001</v>
      </c>
      <c r="G35" s="26">
        <v>-4.9068659999999999</v>
      </c>
      <c r="H35" s="19">
        <v>10040.299999999999</v>
      </c>
      <c r="I35" s="26">
        <v>-3.1470479999999998</v>
      </c>
      <c r="J35" s="19">
        <v>10738.23</v>
      </c>
      <c r="K35" s="26">
        <v>6.9512859999999996</v>
      </c>
    </row>
    <row r="36" spans="1:11" ht="12" customHeight="1">
      <c r="A36" s="64" t="s">
        <v>30</v>
      </c>
      <c r="B36" s="19"/>
      <c r="C36" s="26"/>
      <c r="D36" s="19"/>
      <c r="E36" s="26"/>
      <c r="F36" s="19"/>
      <c r="G36" s="26"/>
      <c r="H36" s="19"/>
      <c r="I36" s="26"/>
      <c r="J36" s="19"/>
      <c r="K36" s="26"/>
    </row>
    <row r="37" spans="1:11" ht="12" customHeight="1" thickBot="1">
      <c r="A37" s="64"/>
      <c r="B37" s="19">
        <v>36655.32</v>
      </c>
      <c r="C37" s="26">
        <v>37.4</v>
      </c>
      <c r="D37" s="19">
        <v>48621.01</v>
      </c>
      <c r="E37" s="26">
        <v>32.6</v>
      </c>
      <c r="F37" s="19">
        <v>44949.440000000002</v>
      </c>
      <c r="G37" s="26">
        <v>-7.6780799999999996</v>
      </c>
      <c r="H37" s="19">
        <v>36491.279999999999</v>
      </c>
      <c r="I37" s="26">
        <v>-18.817053000000001</v>
      </c>
      <c r="J37" s="19">
        <v>51629.82</v>
      </c>
      <c r="K37" s="26">
        <v>41.485363</v>
      </c>
    </row>
    <row r="38" spans="1:11" ht="12" customHeight="1">
      <c r="A38" s="66" t="s">
        <v>6</v>
      </c>
      <c r="B38" s="21"/>
      <c r="C38" s="25"/>
      <c r="D38" s="21"/>
      <c r="E38" s="25"/>
      <c r="F38" s="21"/>
      <c r="G38" s="25"/>
      <c r="H38" s="21"/>
      <c r="I38" s="25"/>
      <c r="J38" s="21"/>
      <c r="K38" s="25"/>
    </row>
    <row r="39" spans="1:11" ht="12" customHeight="1">
      <c r="A39" s="64"/>
      <c r="B39" s="19"/>
      <c r="C39" s="26"/>
      <c r="D39" s="19"/>
      <c r="E39" s="26"/>
      <c r="F39" s="19"/>
      <c r="G39" s="26"/>
      <c r="H39" s="19"/>
      <c r="I39" s="26"/>
      <c r="J39" s="19"/>
      <c r="K39" s="26"/>
    </row>
    <row r="40" spans="1:11" ht="12" customHeight="1">
      <c r="A40" s="64" t="s">
        <v>31</v>
      </c>
      <c r="B40" s="19"/>
      <c r="C40" s="26"/>
      <c r="D40" s="19"/>
      <c r="E40" s="26"/>
      <c r="F40" s="19"/>
      <c r="G40" s="26"/>
      <c r="H40" s="19"/>
      <c r="I40" s="26"/>
      <c r="J40" s="19"/>
      <c r="K40" s="26"/>
    </row>
    <row r="41" spans="1:11" ht="12" customHeight="1">
      <c r="A41" s="64"/>
      <c r="B41" s="19">
        <v>153445.16</v>
      </c>
      <c r="C41" s="26">
        <v>23.3</v>
      </c>
      <c r="D41" s="19">
        <v>193945.14</v>
      </c>
      <c r="E41" s="26">
        <v>26.4</v>
      </c>
      <c r="F41" s="19">
        <v>153337.22</v>
      </c>
      <c r="G41" s="26">
        <v>-20.957678999999999</v>
      </c>
      <c r="H41" s="19">
        <v>183480.43</v>
      </c>
      <c r="I41" s="26">
        <v>19.658117000000001</v>
      </c>
      <c r="J41" s="19">
        <v>209918.58</v>
      </c>
      <c r="K41" s="26">
        <v>14.409248</v>
      </c>
    </row>
    <row r="42" spans="1:11" ht="12" customHeight="1">
      <c r="A42" s="64" t="s">
        <v>8</v>
      </c>
      <c r="B42" s="19"/>
      <c r="C42" s="26"/>
      <c r="D42" s="19"/>
      <c r="E42" s="26"/>
      <c r="F42" s="19"/>
      <c r="G42" s="26"/>
      <c r="H42" s="19"/>
      <c r="I42" s="26"/>
      <c r="J42" s="19"/>
      <c r="K42" s="26"/>
    </row>
    <row r="43" spans="1:11" ht="12" customHeight="1">
      <c r="A43" s="64"/>
      <c r="B43" s="19">
        <v>42240.14</v>
      </c>
      <c r="C43" s="26">
        <v>36.200000000000003</v>
      </c>
      <c r="D43" s="19">
        <v>50577.57</v>
      </c>
      <c r="E43" s="26">
        <v>19.7</v>
      </c>
      <c r="F43" s="19">
        <v>39564.730000000003</v>
      </c>
      <c r="G43" s="26">
        <v>-21.837803000000001</v>
      </c>
      <c r="H43" s="19">
        <v>46613.08</v>
      </c>
      <c r="I43" s="26">
        <v>17.814730000000001</v>
      </c>
      <c r="J43" s="19">
        <v>55818.83</v>
      </c>
      <c r="K43" s="26">
        <v>19.749285</v>
      </c>
    </row>
    <row r="44" spans="1:11" ht="12" customHeight="1">
      <c r="A44" s="64" t="s">
        <v>9</v>
      </c>
      <c r="B44" s="19"/>
      <c r="C44" s="26"/>
      <c r="D44" s="19"/>
      <c r="E44" s="26"/>
      <c r="F44" s="19"/>
      <c r="G44" s="26"/>
      <c r="H44" s="19"/>
      <c r="I44" s="26"/>
      <c r="J44" s="19"/>
      <c r="K44" s="26"/>
    </row>
    <row r="45" spans="1:11" ht="12" customHeight="1">
      <c r="A45" s="64"/>
      <c r="B45" s="19">
        <v>77164.52</v>
      </c>
      <c r="C45" s="26">
        <v>34.299999999999997</v>
      </c>
      <c r="D45" s="19">
        <v>109678.32</v>
      </c>
      <c r="E45" s="26">
        <v>42.1</v>
      </c>
      <c r="F45" s="19">
        <v>84545.68</v>
      </c>
      <c r="G45" s="26">
        <v>-22.914866</v>
      </c>
      <c r="H45" s="19">
        <v>83706.33</v>
      </c>
      <c r="I45" s="26">
        <v>-0.99277700000000002</v>
      </c>
      <c r="J45" s="19">
        <v>87514.94</v>
      </c>
      <c r="K45" s="26">
        <v>4.5499669999999997</v>
      </c>
    </row>
    <row r="46" spans="1:11" ht="12" customHeight="1">
      <c r="A46" s="64" t="s">
        <v>10</v>
      </c>
      <c r="B46" s="19"/>
      <c r="C46" s="26"/>
      <c r="D46" s="19"/>
      <c r="E46" s="26"/>
      <c r="F46" s="19"/>
      <c r="G46" s="26"/>
      <c r="H46" s="19"/>
      <c r="I46" s="26"/>
      <c r="J46" s="19"/>
      <c r="K46" s="26"/>
    </row>
    <row r="47" spans="1:11" ht="12" customHeight="1" thickBot="1">
      <c r="A47" s="65"/>
      <c r="B47" s="22">
        <v>-3616.82</v>
      </c>
      <c r="C47" s="27" t="s">
        <v>132</v>
      </c>
      <c r="D47" s="22">
        <v>4459.01</v>
      </c>
      <c r="E47" s="27" t="s">
        <v>131</v>
      </c>
      <c r="F47" s="22">
        <v>5021.8100000000004</v>
      </c>
      <c r="G47" s="27">
        <v>12.621636000000001</v>
      </c>
      <c r="H47" s="22">
        <v>-3750.73</v>
      </c>
      <c r="I47" s="27">
        <v>-174.688807</v>
      </c>
      <c r="J47" s="22">
        <v>8736.31</v>
      </c>
      <c r="K47" s="27" t="s">
        <v>34</v>
      </c>
    </row>
    <row r="48" spans="1:11" ht="7.5" customHeight="1">
      <c r="C48" s="14"/>
      <c r="D48" s="13"/>
      <c r="E48" s="14"/>
      <c r="F48" s="13"/>
      <c r="G48" s="14"/>
      <c r="H48" s="13"/>
      <c r="I48" s="14"/>
      <c r="J48" s="13"/>
      <c r="K48" s="14"/>
    </row>
    <row r="49" spans="1:11" ht="11.9" customHeight="1">
      <c r="A49" s="28" t="s">
        <v>35</v>
      </c>
      <c r="B49" s="13"/>
      <c r="C49" s="14"/>
      <c r="D49" s="13"/>
      <c r="E49" s="14"/>
      <c r="F49" s="13"/>
      <c r="G49" s="14"/>
      <c r="H49" s="13"/>
      <c r="I49" s="14"/>
      <c r="J49" s="13"/>
      <c r="K49" s="14"/>
    </row>
    <row r="50" spans="1:11" ht="11.9" customHeight="1">
      <c r="A50" s="12"/>
      <c r="B50" s="13"/>
      <c r="C50" s="14"/>
      <c r="D50" s="13"/>
      <c r="E50" s="14"/>
      <c r="F50" s="13"/>
      <c r="G50" s="14"/>
      <c r="H50" s="13"/>
      <c r="I50" s="14"/>
      <c r="J50" s="13"/>
      <c r="K50" s="14"/>
    </row>
    <row r="51" spans="1:11" ht="11.9" customHeight="1">
      <c r="A51" s="24"/>
      <c r="B51" s="13"/>
      <c r="C51" s="14"/>
      <c r="D51" s="13"/>
      <c r="E51" s="14"/>
      <c r="F51" s="13"/>
      <c r="G51" s="14"/>
      <c r="H51" s="13"/>
      <c r="I51" s="14"/>
      <c r="J51" s="13"/>
      <c r="K51" s="14"/>
    </row>
    <row r="52" spans="1:11" ht="11.9" customHeight="1">
      <c r="A52" s="12"/>
      <c r="B52" s="13"/>
      <c r="C52" s="14"/>
      <c r="D52" s="13"/>
      <c r="E52" s="14"/>
      <c r="F52" s="13"/>
      <c r="G52" s="14"/>
      <c r="H52" s="13"/>
      <c r="I52" s="14"/>
      <c r="J52" s="13"/>
      <c r="K52" s="14"/>
    </row>
    <row r="53" spans="1:11" ht="11.9" customHeight="1">
      <c r="A53" s="12"/>
      <c r="B53" s="13"/>
      <c r="C53" s="14"/>
      <c r="D53" s="13"/>
      <c r="E53" s="14"/>
      <c r="F53" s="13"/>
      <c r="G53" s="14"/>
      <c r="H53" s="13"/>
      <c r="I53" s="14"/>
      <c r="J53" s="13"/>
      <c r="K53" s="14"/>
    </row>
    <row r="54" spans="1:11" ht="11.9" customHeight="1">
      <c r="A54" s="12"/>
      <c r="B54" s="13"/>
      <c r="C54" s="14"/>
      <c r="D54" s="13"/>
      <c r="E54" s="14"/>
      <c r="F54" s="13"/>
      <c r="G54" s="14"/>
      <c r="H54" s="13"/>
      <c r="I54" s="14"/>
      <c r="J54" s="13"/>
      <c r="K54" s="14"/>
    </row>
    <row r="55" spans="1:11" ht="11.9" customHeight="1">
      <c r="A55" s="12"/>
      <c r="B55" s="13"/>
      <c r="C55" s="14"/>
      <c r="D55" s="13"/>
      <c r="E55" s="14"/>
      <c r="F55" s="13"/>
      <c r="G55" s="14"/>
      <c r="H55" s="13"/>
      <c r="I55" s="14"/>
      <c r="J55" s="13"/>
      <c r="K55" s="14"/>
    </row>
    <row r="56" spans="1:11" ht="11.9" customHeight="1">
      <c r="A56" s="12"/>
      <c r="B56" s="13"/>
      <c r="C56" s="14"/>
      <c r="D56" s="13"/>
      <c r="E56" s="14"/>
      <c r="F56" s="13"/>
      <c r="G56" s="14"/>
      <c r="H56" s="13"/>
      <c r="I56" s="14"/>
      <c r="J56" s="13"/>
      <c r="K56" s="14"/>
    </row>
    <row r="57" spans="1:11" ht="11.9" customHeight="1">
      <c r="A57" s="12"/>
      <c r="B57" s="13"/>
      <c r="C57" s="14"/>
      <c r="D57" s="13"/>
      <c r="E57" s="14"/>
      <c r="F57" s="13"/>
      <c r="G57" s="14"/>
      <c r="H57" s="13"/>
      <c r="I57" s="14"/>
      <c r="J57" s="13"/>
      <c r="K57" s="14"/>
    </row>
    <row r="58" spans="1:11" ht="11.9" customHeight="1">
      <c r="A58" s="12"/>
      <c r="B58" s="13"/>
      <c r="C58" s="14"/>
      <c r="D58" s="13"/>
      <c r="E58" s="14"/>
      <c r="F58" s="13"/>
      <c r="G58" s="14"/>
      <c r="H58" s="13"/>
      <c r="I58" s="14"/>
      <c r="J58" s="13"/>
      <c r="K58" s="14"/>
    </row>
    <row r="59" spans="1:11" ht="11.9" customHeight="1">
      <c r="A59" s="12"/>
      <c r="B59" s="13"/>
      <c r="C59" s="14"/>
      <c r="D59" s="13"/>
      <c r="E59" s="14"/>
      <c r="F59" s="13"/>
      <c r="G59" s="14"/>
      <c r="H59" s="13"/>
      <c r="I59" s="14"/>
      <c r="J59" s="13"/>
      <c r="K59" s="14"/>
    </row>
    <row r="60" spans="1:11" ht="11.9" customHeight="1">
      <c r="A60" s="12"/>
      <c r="B60" s="13"/>
      <c r="C60" s="14"/>
      <c r="D60" s="13"/>
      <c r="E60" s="14"/>
      <c r="F60" s="13"/>
      <c r="G60" s="14"/>
      <c r="H60" s="13"/>
      <c r="I60" s="14"/>
      <c r="J60" s="13"/>
      <c r="K60" s="14"/>
    </row>
    <row r="61" spans="1:11" ht="11.9" customHeight="1">
      <c r="A61" s="12"/>
      <c r="B61" s="13"/>
      <c r="C61" s="14"/>
      <c r="D61" s="13"/>
      <c r="E61" s="14"/>
      <c r="F61" s="13"/>
      <c r="G61" s="14"/>
      <c r="H61" s="13"/>
      <c r="I61" s="14"/>
      <c r="J61" s="13"/>
      <c r="K61" s="14"/>
    </row>
    <row r="62" spans="1:11" ht="11.9" customHeight="1">
      <c r="A62" s="12"/>
      <c r="B62" s="13"/>
      <c r="C62" s="14"/>
      <c r="D62" s="13"/>
      <c r="E62" s="14"/>
      <c r="F62" s="13"/>
      <c r="G62" s="14"/>
      <c r="H62" s="13"/>
      <c r="I62" s="14"/>
      <c r="J62" s="13"/>
      <c r="K62" s="14"/>
    </row>
    <row r="63" spans="1:11" ht="11.9" customHeight="1">
      <c r="A63" s="12"/>
      <c r="B63" s="13"/>
      <c r="C63" s="14"/>
      <c r="D63" s="13"/>
      <c r="E63" s="14"/>
      <c r="F63" s="13"/>
      <c r="G63" s="14"/>
      <c r="H63" s="13"/>
      <c r="I63" s="14"/>
      <c r="J63" s="13"/>
      <c r="K63" s="14"/>
    </row>
    <row r="64" spans="1:11" ht="11.9" customHeight="1">
      <c r="A64" s="12"/>
      <c r="B64" s="13"/>
      <c r="C64" s="14"/>
      <c r="D64" s="13"/>
      <c r="E64" s="14"/>
      <c r="F64" s="13"/>
      <c r="G64" s="14"/>
      <c r="H64" s="13"/>
      <c r="I64" s="14"/>
      <c r="J64" s="13"/>
      <c r="K64" s="14"/>
    </row>
    <row r="65" spans="1:11" ht="11.9" customHeight="1">
      <c r="A65" s="12"/>
      <c r="B65" s="13"/>
      <c r="C65" s="14"/>
      <c r="D65" s="13"/>
      <c r="E65" s="14"/>
      <c r="F65" s="13"/>
      <c r="G65" s="14"/>
      <c r="H65" s="13"/>
      <c r="I65" s="14"/>
      <c r="J65" s="13"/>
      <c r="K65" s="14"/>
    </row>
    <row r="66" spans="1:11" ht="11.9" customHeight="1">
      <c r="A66" s="12"/>
      <c r="B66" s="13"/>
      <c r="C66" s="14"/>
      <c r="D66" s="13"/>
      <c r="E66" s="14"/>
      <c r="F66" s="13"/>
      <c r="G66" s="14"/>
      <c r="H66" s="13"/>
      <c r="I66" s="14"/>
      <c r="J66" s="13"/>
      <c r="K66" s="14"/>
    </row>
    <row r="67" spans="1:11" ht="11.9" customHeight="1">
      <c r="A67" s="12"/>
      <c r="B67" s="13"/>
      <c r="C67" s="14"/>
      <c r="D67" s="13"/>
      <c r="E67" s="14"/>
      <c r="F67" s="13"/>
      <c r="G67" s="14"/>
      <c r="H67" s="13"/>
      <c r="I67" s="14"/>
      <c r="J67" s="13"/>
      <c r="K67" s="14"/>
    </row>
    <row r="68" spans="1:11" ht="11.9" customHeight="1">
      <c r="A68" s="12"/>
      <c r="B68" s="13"/>
      <c r="C68" s="14"/>
      <c r="D68" s="13"/>
      <c r="E68" s="14"/>
      <c r="F68" s="13"/>
      <c r="G68" s="14"/>
      <c r="H68" s="13"/>
      <c r="I68" s="14"/>
      <c r="J68" s="13"/>
      <c r="K68" s="14"/>
    </row>
    <row r="69" spans="1:11" ht="11.9" customHeight="1">
      <c r="A69" s="12"/>
      <c r="B69" s="13"/>
      <c r="C69" s="14"/>
      <c r="D69" s="13"/>
      <c r="E69" s="14"/>
      <c r="F69" s="13"/>
      <c r="G69" s="14"/>
      <c r="H69" s="13"/>
      <c r="I69" s="14"/>
      <c r="J69" s="13"/>
      <c r="K69" s="14"/>
    </row>
    <row r="70" spans="1:11" ht="11.9" customHeight="1">
      <c r="A70" s="12"/>
      <c r="B70" s="13"/>
      <c r="C70" s="14"/>
      <c r="D70" s="13"/>
      <c r="E70" s="14"/>
      <c r="F70" s="13"/>
      <c r="G70" s="14"/>
      <c r="H70" s="13"/>
      <c r="I70" s="14"/>
      <c r="J70" s="13"/>
      <c r="K70" s="14"/>
    </row>
    <row r="71" spans="1:11" ht="11.9" customHeight="1">
      <c r="A71" s="12"/>
      <c r="B71" s="13"/>
      <c r="C71" s="14"/>
      <c r="D71" s="13"/>
      <c r="E71" s="14"/>
      <c r="F71" s="13"/>
      <c r="G71" s="14"/>
      <c r="H71" s="13"/>
      <c r="I71" s="14"/>
      <c r="J71" s="13"/>
      <c r="K71" s="14"/>
    </row>
    <row r="72" spans="1:11" ht="11.9" customHeight="1">
      <c r="A72" s="12"/>
      <c r="B72" s="13"/>
      <c r="C72" s="14"/>
      <c r="D72" s="13"/>
      <c r="E72" s="14"/>
      <c r="F72" s="13"/>
      <c r="G72" s="14"/>
      <c r="H72" s="13"/>
      <c r="I72" s="14"/>
      <c r="J72" s="13"/>
      <c r="K72" s="14"/>
    </row>
    <row r="73" spans="1:11" ht="11.9" customHeight="1"/>
    <row r="74" spans="1:11" ht="11.9" customHeight="1"/>
    <row r="75" spans="1:11" ht="11.9" customHeight="1"/>
    <row r="76" spans="1:11" ht="11.9" customHeight="1"/>
    <row r="77" spans="1:11" ht="11.9" customHeight="1"/>
    <row r="78" spans="1:11" ht="11.9" customHeight="1"/>
    <row r="79" spans="1:11" ht="11.9" customHeight="1"/>
    <row r="80" spans="1:11" ht="11.9" customHeight="1"/>
    <row r="81" ht="11.9" customHeight="1"/>
    <row r="82" ht="11.9" customHeight="1"/>
    <row r="83" ht="11.9" customHeight="1"/>
    <row r="84" ht="11.9" customHeight="1"/>
    <row r="85" ht="11.9" customHeight="1"/>
    <row r="86" ht="11.9" customHeight="1"/>
    <row r="87" ht="11.9" customHeight="1"/>
    <row r="88" ht="11.9" customHeight="1"/>
    <row r="89" ht="11.9" customHeight="1"/>
    <row r="90" ht="11.9" customHeight="1"/>
    <row r="91" ht="11.9" customHeight="1"/>
    <row r="92" ht="11.9" customHeight="1"/>
    <row r="93" ht="11.9" customHeight="1"/>
    <row r="94" ht="11.9" customHeight="1"/>
    <row r="95" ht="11.9" customHeight="1"/>
    <row r="96" ht="11.9" customHeight="1"/>
    <row r="97" ht="11.9" customHeight="1"/>
    <row r="98" ht="11.9" customHeight="1"/>
    <row r="99" ht="11.9" customHeight="1"/>
    <row r="100" ht="11.9" customHeight="1"/>
    <row r="115" spans="1:10">
      <c r="A115" s="10"/>
      <c r="B115" s="11"/>
      <c r="D115" s="11"/>
      <c r="F115" s="11"/>
      <c r="H115" s="11"/>
      <c r="J115" s="11"/>
    </row>
    <row r="116" spans="1:10">
      <c r="A116" s="12"/>
      <c r="B116" s="13"/>
      <c r="D116" s="13"/>
      <c r="F116" s="13"/>
      <c r="H116" s="13"/>
      <c r="J116" s="13"/>
    </row>
    <row r="117" spans="1:10">
      <c r="A117" s="14"/>
      <c r="B117" s="13"/>
      <c r="D117" s="13"/>
      <c r="F117" s="13"/>
      <c r="H117" s="13"/>
      <c r="J117" s="13"/>
    </row>
    <row r="118" spans="1:10">
      <c r="A118" s="14"/>
      <c r="B118" s="13"/>
      <c r="D118" s="13"/>
      <c r="F118" s="13"/>
      <c r="H118" s="13"/>
      <c r="J118" s="13"/>
    </row>
    <row r="119" spans="1:10">
      <c r="A119" s="14"/>
      <c r="B119" s="13"/>
      <c r="D119" s="13"/>
      <c r="F119" s="13"/>
      <c r="H119" s="13"/>
      <c r="J119" s="13"/>
    </row>
    <row r="120" spans="1:10">
      <c r="A120" s="14"/>
      <c r="B120" s="13"/>
      <c r="D120" s="13"/>
      <c r="F120" s="13"/>
      <c r="H120" s="13"/>
      <c r="J120" s="13"/>
    </row>
    <row r="121" spans="1:10">
      <c r="A121" s="14"/>
      <c r="B121" s="13"/>
      <c r="D121" s="13"/>
      <c r="F121" s="13"/>
      <c r="H121" s="13"/>
      <c r="J121" s="13"/>
    </row>
    <row r="122" spans="1:10">
      <c r="A122" s="14"/>
      <c r="B122" s="13"/>
      <c r="D122" s="13"/>
      <c r="F122" s="13"/>
      <c r="H122" s="13"/>
      <c r="J122" s="13"/>
    </row>
    <row r="123" spans="1:10">
      <c r="A123" s="12"/>
      <c r="B123" s="13"/>
      <c r="D123" s="13"/>
      <c r="F123" s="13"/>
      <c r="H123" s="13"/>
      <c r="J123" s="13"/>
    </row>
    <row r="124" spans="1:10">
      <c r="A124" s="12"/>
      <c r="B124" s="13"/>
      <c r="D124" s="13"/>
      <c r="F124" s="13"/>
      <c r="H124" s="13"/>
      <c r="J124" s="13"/>
    </row>
    <row r="125" spans="1:10">
      <c r="A125" s="12"/>
      <c r="B125" s="13"/>
      <c r="D125" s="13"/>
      <c r="F125" s="13"/>
      <c r="H125" s="13"/>
      <c r="J125" s="13"/>
    </row>
    <row r="126" spans="1:10">
      <c r="A126" s="12"/>
      <c r="B126" s="13"/>
      <c r="D126" s="13"/>
      <c r="F126" s="13"/>
      <c r="H126" s="13"/>
      <c r="J126" s="13"/>
    </row>
    <row r="127" spans="1:10">
      <c r="A127" s="12"/>
      <c r="B127" s="13"/>
      <c r="D127" s="13"/>
      <c r="F127" s="13"/>
      <c r="H127" s="13"/>
      <c r="J127" s="13"/>
    </row>
    <row r="128" spans="1:10">
      <c r="A128" s="12"/>
      <c r="B128" s="13"/>
      <c r="D128" s="13"/>
      <c r="F128" s="13"/>
      <c r="H128" s="13"/>
      <c r="J128" s="13"/>
    </row>
    <row r="129" spans="1:10">
      <c r="A129" s="12"/>
      <c r="B129" s="13"/>
      <c r="D129" s="13"/>
      <c r="F129" s="13"/>
      <c r="H129" s="13"/>
      <c r="J129" s="13"/>
    </row>
    <row r="130" spans="1:10">
      <c r="A130" s="14"/>
      <c r="B130" s="13"/>
      <c r="D130" s="13"/>
      <c r="F130" s="13"/>
      <c r="H130" s="13"/>
      <c r="J130" s="13"/>
    </row>
    <row r="131" spans="1:10">
      <c r="A131" s="14"/>
      <c r="B131" s="13"/>
      <c r="D131" s="13"/>
      <c r="F131" s="13"/>
      <c r="H131" s="13"/>
      <c r="J131" s="13"/>
    </row>
  </sheetData>
  <mergeCells count="27">
    <mergeCell ref="A44:A45"/>
    <mergeCell ref="A46:A47"/>
    <mergeCell ref="D4:E4"/>
    <mergeCell ref="F4:G4"/>
    <mergeCell ref="A36:A37"/>
    <mergeCell ref="A38:A39"/>
    <mergeCell ref="A40:A41"/>
    <mergeCell ref="A42:A43"/>
    <mergeCell ref="A28:A29"/>
    <mergeCell ref="A34:A35"/>
    <mergeCell ref="A20:A21"/>
    <mergeCell ref="A22:A23"/>
    <mergeCell ref="A24:A25"/>
    <mergeCell ref="A26:A27"/>
    <mergeCell ref="J4:K4"/>
    <mergeCell ref="A30:A31"/>
    <mergeCell ref="A32:A33"/>
    <mergeCell ref="A10:A11"/>
    <mergeCell ref="A12:A13"/>
    <mergeCell ref="A14:A15"/>
    <mergeCell ref="A16:A17"/>
    <mergeCell ref="B4:C4"/>
    <mergeCell ref="H4:I4"/>
    <mergeCell ref="A6:A7"/>
    <mergeCell ref="A8:A9"/>
    <mergeCell ref="A4:A5"/>
    <mergeCell ref="A18:A19"/>
  </mergeCells>
  <phoneticPr fontId="2"/>
  <printOptions horizontalCentered="1"/>
  <pageMargins left="0.39370078740157483" right="0.39370078740157483" top="0.78740157480314965" bottom="0.59055118110236227" header="0.51181102362204722" footer="0.39370078740157483"/>
  <pageSetup paperSize="9" scale="76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C3AC8-37AF-4D79-A383-864985A66397}">
  <sheetPr codeName="Sheet13">
    <pageSetUpPr fitToPage="1"/>
  </sheetPr>
  <dimension ref="A1:K95"/>
  <sheetViews>
    <sheetView showGridLines="0" zoomScaleNormal="100" workbookViewId="0"/>
  </sheetViews>
  <sheetFormatPr defaultColWidth="10.296875" defaultRowHeight="11"/>
  <cols>
    <col min="1" max="1" width="27" style="1" customWidth="1"/>
    <col min="2" max="2" width="17.8984375" style="1" customWidth="1"/>
    <col min="3" max="3" width="8.69921875" style="1" customWidth="1"/>
    <col min="4" max="4" width="17.8984375" style="1" customWidth="1"/>
    <col min="5" max="5" width="8.69921875" style="1" customWidth="1"/>
    <col min="6" max="6" width="17.8984375" style="1" customWidth="1"/>
    <col min="7" max="7" width="8.69921875" style="1" customWidth="1"/>
    <col min="8" max="8" width="17.8984375" style="1" customWidth="1"/>
    <col min="9" max="9" width="8.69921875" style="1" customWidth="1"/>
    <col min="10" max="10" width="17.8984375" style="1" customWidth="1"/>
    <col min="11" max="11" width="8.69921875" style="1" customWidth="1"/>
    <col min="12" max="16384" width="10.296875" style="1"/>
  </cols>
  <sheetData>
    <row r="1" spans="1:11" ht="19">
      <c r="A1" s="29" t="s">
        <v>36</v>
      </c>
      <c r="D1" s="2" t="s">
        <v>37</v>
      </c>
    </row>
    <row r="3" spans="1:11" ht="11.5" thickBot="1">
      <c r="K3" s="3" t="s">
        <v>13</v>
      </c>
    </row>
    <row r="4" spans="1:11" ht="12" customHeight="1" thickBot="1">
      <c r="A4" s="67" t="s">
        <v>2</v>
      </c>
      <c r="B4" s="62">
        <v>1999</v>
      </c>
      <c r="C4" s="62"/>
      <c r="D4" s="62">
        <v>2000</v>
      </c>
      <c r="E4" s="63"/>
      <c r="F4" s="62">
        <v>2001</v>
      </c>
      <c r="G4" s="63"/>
      <c r="H4" s="62">
        <v>2002</v>
      </c>
      <c r="I4" s="63"/>
      <c r="J4" s="62">
        <v>2003</v>
      </c>
      <c r="K4" s="63"/>
    </row>
    <row r="5" spans="1:11" ht="25" customHeight="1" thickBot="1">
      <c r="A5" s="68"/>
      <c r="B5" s="15"/>
      <c r="C5" s="16" t="s">
        <v>14</v>
      </c>
      <c r="D5" s="15"/>
      <c r="E5" s="16" t="s">
        <v>14</v>
      </c>
      <c r="F5" s="15"/>
      <c r="G5" s="16" t="s">
        <v>14</v>
      </c>
      <c r="H5" s="15"/>
      <c r="I5" s="16" t="s">
        <v>14</v>
      </c>
      <c r="J5" s="15"/>
      <c r="K5" s="16" t="s">
        <v>14</v>
      </c>
    </row>
    <row r="6" spans="1:11" ht="12" customHeight="1">
      <c r="A6" s="66" t="s">
        <v>15</v>
      </c>
      <c r="B6" s="17"/>
      <c r="C6" s="18"/>
      <c r="D6" s="17"/>
      <c r="E6" s="18"/>
      <c r="F6" s="17"/>
      <c r="G6" s="18"/>
      <c r="H6" s="17"/>
      <c r="I6" s="18"/>
      <c r="J6" s="17"/>
      <c r="K6" s="18"/>
    </row>
    <row r="7" spans="1:11" ht="12" customHeight="1">
      <c r="A7" s="64"/>
      <c r="B7" s="19">
        <v>292698.99</v>
      </c>
      <c r="C7" s="20">
        <v>15.6</v>
      </c>
      <c r="D7" s="19">
        <v>376649.48</v>
      </c>
      <c r="E7" s="20">
        <v>28.7</v>
      </c>
      <c r="F7" s="19">
        <v>295612.68</v>
      </c>
      <c r="G7" s="20">
        <v>-21.533633999999999</v>
      </c>
      <c r="H7" s="19">
        <v>320422.77</v>
      </c>
      <c r="I7" s="20">
        <v>8.3927689999999995</v>
      </c>
      <c r="J7" s="19">
        <v>367201.67</v>
      </c>
      <c r="K7" s="20">
        <v>14.599119</v>
      </c>
    </row>
    <row r="8" spans="1:11" ht="12" customHeight="1">
      <c r="A8" s="64" t="s">
        <v>16</v>
      </c>
      <c r="B8" s="19"/>
      <c r="C8" s="20"/>
      <c r="D8" s="19"/>
      <c r="E8" s="20"/>
      <c r="F8" s="19"/>
      <c r="G8" s="20"/>
      <c r="H8" s="19"/>
      <c r="I8" s="20"/>
      <c r="J8" s="19"/>
      <c r="K8" s="20"/>
    </row>
    <row r="9" spans="1:11" ht="12" customHeight="1">
      <c r="A9" s="64"/>
      <c r="B9" s="19">
        <v>116213.99</v>
      </c>
      <c r="C9" s="20">
        <v>19.7</v>
      </c>
      <c r="D9" s="19">
        <v>160097.42000000001</v>
      </c>
      <c r="E9" s="20">
        <v>37.799999999999997</v>
      </c>
      <c r="F9" s="19">
        <v>102841.83</v>
      </c>
      <c r="G9" s="20">
        <v>-35.752043999999998</v>
      </c>
      <c r="H9" s="19">
        <v>121957.48</v>
      </c>
      <c r="I9" s="20">
        <v>18.587427000000002</v>
      </c>
      <c r="J9" s="19">
        <v>149405.01999999999</v>
      </c>
      <c r="K9" s="20">
        <v>22.505827</v>
      </c>
    </row>
    <row r="10" spans="1:11" ht="12" customHeight="1">
      <c r="A10" s="64" t="s">
        <v>24</v>
      </c>
      <c r="B10" s="19"/>
      <c r="C10" s="20"/>
      <c r="D10" s="19"/>
      <c r="E10" s="20"/>
      <c r="F10" s="19"/>
      <c r="G10" s="20"/>
      <c r="H10" s="19"/>
      <c r="I10" s="20"/>
      <c r="J10" s="19"/>
      <c r="K10" s="20"/>
    </row>
    <row r="11" spans="1:11" ht="12" customHeight="1" thickBot="1">
      <c r="A11" s="65"/>
      <c r="B11" s="22">
        <v>176485</v>
      </c>
      <c r="C11" s="23">
        <v>13</v>
      </c>
      <c r="D11" s="22">
        <v>216552.06</v>
      </c>
      <c r="E11" s="23">
        <v>22.7</v>
      </c>
      <c r="F11" s="22">
        <v>192770.85</v>
      </c>
      <c r="G11" s="23">
        <v>-11.021932</v>
      </c>
      <c r="H11" s="22">
        <v>198465.29</v>
      </c>
      <c r="I11" s="23">
        <v>2.9539939999999998</v>
      </c>
      <c r="J11" s="22">
        <v>217796.65</v>
      </c>
      <c r="K11" s="23">
        <v>9.7404240000000009</v>
      </c>
    </row>
    <row r="12" spans="1:11" ht="11.9" customHeight="1">
      <c r="A12" s="12"/>
      <c r="B12" s="13"/>
      <c r="C12" s="14"/>
      <c r="D12" s="13"/>
      <c r="E12" s="14"/>
      <c r="F12" s="13"/>
      <c r="G12" s="14"/>
      <c r="H12" s="13"/>
      <c r="I12" s="14"/>
      <c r="J12" s="13"/>
      <c r="K12" s="14"/>
    </row>
    <row r="13" spans="1:11" ht="11.9" customHeight="1">
      <c r="A13" s="12"/>
      <c r="B13" s="13"/>
      <c r="C13" s="14"/>
      <c r="D13" s="13"/>
      <c r="E13" s="14"/>
      <c r="F13" s="13"/>
      <c r="G13" s="14"/>
      <c r="H13" s="13"/>
      <c r="I13" s="14"/>
      <c r="J13" s="13"/>
      <c r="K13" s="14"/>
    </row>
    <row r="14" spans="1:11" ht="11.9" customHeight="1">
      <c r="A14" s="12"/>
      <c r="B14" s="13"/>
      <c r="C14" s="14"/>
      <c r="D14" s="13"/>
      <c r="E14" s="14"/>
      <c r="F14" s="13"/>
      <c r="G14" s="14"/>
      <c r="H14" s="13"/>
      <c r="I14" s="14"/>
      <c r="J14" s="13"/>
      <c r="K14" s="14"/>
    </row>
    <row r="15" spans="1:11" ht="11.9" customHeight="1">
      <c r="A15" s="24"/>
      <c r="B15" s="13"/>
      <c r="C15" s="14"/>
      <c r="D15" s="13"/>
      <c r="E15" s="14"/>
      <c r="F15" s="13"/>
      <c r="G15" s="14"/>
      <c r="H15" s="13"/>
      <c r="I15" s="14"/>
      <c r="J15" s="13"/>
      <c r="K15" s="14"/>
    </row>
    <row r="16" spans="1:11" ht="11.9" customHeight="1">
      <c r="A16" s="12"/>
      <c r="B16" s="13"/>
      <c r="C16" s="14"/>
      <c r="D16" s="13"/>
      <c r="E16" s="14"/>
      <c r="F16" s="13"/>
      <c r="G16" s="14"/>
      <c r="H16" s="13"/>
      <c r="I16" s="14"/>
      <c r="J16" s="13"/>
      <c r="K16" s="14"/>
    </row>
    <row r="17" spans="1:11" ht="11.9" customHeight="1">
      <c r="A17" s="12"/>
      <c r="B17" s="13"/>
      <c r="C17" s="14"/>
      <c r="D17" s="13"/>
      <c r="E17" s="14"/>
      <c r="F17" s="13"/>
      <c r="G17" s="14"/>
      <c r="H17" s="13"/>
      <c r="I17" s="14"/>
      <c r="J17" s="13"/>
      <c r="K17" s="14"/>
    </row>
    <row r="18" spans="1:11" ht="11.9" customHeight="1">
      <c r="A18" s="12"/>
      <c r="B18" s="13"/>
      <c r="C18" s="14"/>
      <c r="D18" s="13"/>
      <c r="E18" s="14"/>
      <c r="F18" s="13"/>
      <c r="G18" s="14"/>
      <c r="H18" s="13"/>
      <c r="I18" s="14"/>
      <c r="J18" s="13"/>
      <c r="K18" s="14"/>
    </row>
    <row r="19" spans="1:11" ht="11.9" customHeight="1">
      <c r="A19" s="12"/>
      <c r="B19" s="13"/>
      <c r="C19" s="14"/>
      <c r="D19" s="13"/>
      <c r="E19" s="14"/>
      <c r="F19" s="13"/>
      <c r="G19" s="14"/>
      <c r="H19" s="13"/>
      <c r="I19" s="14"/>
      <c r="J19" s="13"/>
      <c r="K19" s="14"/>
    </row>
    <row r="20" spans="1:11" ht="11.9" customHeight="1">
      <c r="A20" s="12"/>
      <c r="B20" s="13"/>
      <c r="C20" s="14"/>
      <c r="D20" s="13"/>
      <c r="E20" s="14"/>
      <c r="F20" s="13"/>
      <c r="G20" s="14"/>
      <c r="H20" s="13"/>
      <c r="I20" s="14"/>
      <c r="J20" s="13"/>
      <c r="K20" s="14"/>
    </row>
    <row r="21" spans="1:11" ht="11.9" customHeight="1">
      <c r="A21" s="12"/>
      <c r="B21" s="13"/>
      <c r="C21" s="14"/>
      <c r="D21" s="13"/>
      <c r="E21" s="14"/>
      <c r="F21" s="13"/>
      <c r="G21" s="14"/>
      <c r="H21" s="13"/>
      <c r="I21" s="14"/>
      <c r="J21" s="13"/>
      <c r="K21" s="14"/>
    </row>
    <row r="22" spans="1:11" ht="11.9" customHeight="1">
      <c r="A22" s="12"/>
      <c r="B22" s="13"/>
      <c r="C22" s="14"/>
      <c r="D22" s="13"/>
      <c r="E22" s="14"/>
      <c r="F22" s="13"/>
      <c r="G22" s="14"/>
      <c r="H22" s="13"/>
      <c r="I22" s="14"/>
      <c r="J22" s="13"/>
      <c r="K22" s="14"/>
    </row>
    <row r="23" spans="1:11" ht="11.9" customHeight="1">
      <c r="A23" s="12"/>
      <c r="B23" s="13"/>
      <c r="C23" s="14"/>
      <c r="D23" s="13"/>
      <c r="E23" s="14"/>
      <c r="F23" s="13"/>
      <c r="G23" s="14"/>
      <c r="H23" s="13"/>
      <c r="I23" s="14"/>
      <c r="J23" s="13"/>
      <c r="K23" s="14"/>
    </row>
    <row r="24" spans="1:11" ht="11.9" customHeight="1">
      <c r="A24" s="12"/>
      <c r="B24" s="13"/>
      <c r="C24" s="14"/>
      <c r="D24" s="13"/>
      <c r="E24" s="14"/>
      <c r="F24" s="13"/>
      <c r="G24" s="14"/>
      <c r="H24" s="13"/>
      <c r="I24" s="14"/>
      <c r="J24" s="13"/>
      <c r="K24" s="14"/>
    </row>
    <row r="25" spans="1:11" ht="11.9" customHeight="1">
      <c r="A25" s="12"/>
      <c r="B25" s="13"/>
      <c r="C25" s="14"/>
      <c r="D25" s="13"/>
      <c r="E25" s="14"/>
      <c r="F25" s="13"/>
      <c r="G25" s="14"/>
      <c r="H25" s="13"/>
      <c r="I25" s="14"/>
      <c r="J25" s="13"/>
      <c r="K25" s="14"/>
    </row>
    <row r="26" spans="1:11" ht="11.9" customHeight="1">
      <c r="A26" s="12"/>
      <c r="B26" s="13"/>
      <c r="C26" s="14"/>
      <c r="D26" s="13"/>
      <c r="E26" s="14"/>
      <c r="F26" s="13"/>
      <c r="G26" s="14"/>
      <c r="H26" s="13"/>
      <c r="I26" s="14"/>
      <c r="J26" s="13"/>
      <c r="K26" s="14"/>
    </row>
    <row r="27" spans="1:11" ht="11.9" customHeight="1">
      <c r="A27" s="12"/>
      <c r="B27" s="13"/>
      <c r="C27" s="14"/>
      <c r="D27" s="13"/>
      <c r="E27" s="14"/>
      <c r="F27" s="13"/>
      <c r="G27" s="14"/>
      <c r="H27" s="13"/>
      <c r="I27" s="14"/>
      <c r="J27" s="13"/>
      <c r="K27" s="14"/>
    </row>
    <row r="28" spans="1:11" ht="11.9" customHeight="1">
      <c r="A28" s="12"/>
      <c r="B28" s="13"/>
      <c r="C28" s="14"/>
      <c r="D28" s="13"/>
      <c r="E28" s="14"/>
      <c r="F28" s="13"/>
      <c r="G28" s="14"/>
      <c r="H28" s="13"/>
      <c r="I28" s="14"/>
      <c r="J28" s="13"/>
      <c r="K28" s="14"/>
    </row>
    <row r="29" spans="1:11" ht="11.9" customHeight="1">
      <c r="A29" s="12"/>
      <c r="B29" s="13"/>
      <c r="C29" s="14"/>
      <c r="D29" s="13"/>
      <c r="E29" s="14"/>
      <c r="F29" s="13"/>
      <c r="G29" s="14"/>
      <c r="H29" s="13"/>
      <c r="I29" s="14"/>
      <c r="J29" s="13"/>
      <c r="K29" s="14"/>
    </row>
    <row r="30" spans="1:11" ht="11.9" customHeight="1">
      <c r="A30" s="12"/>
      <c r="B30" s="13"/>
      <c r="C30" s="14"/>
      <c r="D30" s="13"/>
      <c r="E30" s="14"/>
      <c r="F30" s="13"/>
      <c r="G30" s="14"/>
      <c r="H30" s="13"/>
      <c r="I30" s="14"/>
      <c r="J30" s="13"/>
      <c r="K30" s="14"/>
    </row>
    <row r="31" spans="1:11" ht="11.9" customHeight="1">
      <c r="A31" s="12"/>
      <c r="B31" s="13"/>
      <c r="C31" s="14"/>
      <c r="D31" s="13"/>
      <c r="E31" s="14"/>
      <c r="F31" s="13"/>
      <c r="G31" s="14"/>
      <c r="H31" s="13"/>
      <c r="I31" s="14"/>
      <c r="J31" s="13"/>
      <c r="K31" s="14"/>
    </row>
    <row r="32" spans="1:11" ht="11.9" customHeight="1">
      <c r="A32" s="12"/>
      <c r="B32" s="13"/>
      <c r="C32" s="14"/>
      <c r="D32" s="13"/>
      <c r="E32" s="14"/>
      <c r="F32" s="13"/>
      <c r="G32" s="14"/>
      <c r="H32" s="13"/>
      <c r="I32" s="14"/>
      <c r="J32" s="13"/>
      <c r="K32" s="14"/>
    </row>
    <row r="33" spans="1:11" ht="11.9" customHeight="1">
      <c r="A33" s="12"/>
      <c r="B33" s="13"/>
      <c r="C33" s="14"/>
      <c r="D33" s="13"/>
      <c r="E33" s="14"/>
      <c r="F33" s="13"/>
      <c r="G33" s="14"/>
      <c r="H33" s="13"/>
      <c r="I33" s="14"/>
      <c r="J33" s="13"/>
      <c r="K33" s="14"/>
    </row>
    <row r="34" spans="1:11" ht="11.9" customHeight="1">
      <c r="A34" s="12"/>
      <c r="B34" s="13"/>
      <c r="C34" s="14"/>
      <c r="D34" s="13"/>
      <c r="E34" s="14"/>
      <c r="F34" s="13"/>
      <c r="G34" s="14"/>
      <c r="H34" s="13"/>
      <c r="I34" s="14"/>
      <c r="J34" s="13"/>
      <c r="K34" s="14"/>
    </row>
    <row r="35" spans="1:11" ht="11.9" customHeight="1">
      <c r="A35" s="12"/>
      <c r="B35" s="13"/>
      <c r="C35" s="14"/>
      <c r="D35" s="13"/>
      <c r="E35" s="14"/>
      <c r="F35" s="13"/>
      <c r="G35" s="14"/>
      <c r="H35" s="13"/>
      <c r="I35" s="14"/>
      <c r="J35" s="13"/>
      <c r="K35" s="14"/>
    </row>
    <row r="36" spans="1:11" ht="11.9" customHeight="1">
      <c r="A36" s="12"/>
      <c r="B36" s="13"/>
      <c r="C36" s="14"/>
      <c r="D36" s="13"/>
      <c r="E36" s="14"/>
      <c r="F36" s="13"/>
      <c r="G36" s="14"/>
      <c r="H36" s="13"/>
      <c r="I36" s="14"/>
      <c r="J36" s="13"/>
      <c r="K36" s="14"/>
    </row>
    <row r="37" spans="1:11" ht="11.9" customHeight="1"/>
    <row r="38" spans="1:11" ht="11.9" customHeight="1"/>
    <row r="39" spans="1:11" ht="11.9" customHeight="1"/>
    <row r="40" spans="1:11" ht="11.9" customHeight="1"/>
    <row r="41" spans="1:11" ht="11.9" customHeight="1"/>
    <row r="42" spans="1:11" ht="11.9" customHeight="1"/>
    <row r="43" spans="1:11" ht="11.9" customHeight="1"/>
    <row r="44" spans="1:11" ht="11.9" customHeight="1"/>
    <row r="45" spans="1:11" ht="11.9" customHeight="1"/>
    <row r="46" spans="1:11" ht="11.9" customHeight="1"/>
    <row r="47" spans="1:11" ht="11.9" customHeight="1"/>
    <row r="48" spans="1:11" ht="11.9" customHeight="1"/>
    <row r="49" ht="11.9" customHeight="1"/>
    <row r="50" ht="11.9" customHeight="1"/>
    <row r="51" ht="11.9" customHeight="1"/>
    <row r="52" ht="11.9" customHeight="1"/>
    <row r="53" ht="11.9" customHeight="1"/>
    <row r="54" ht="11.9" customHeight="1"/>
    <row r="55" ht="11.9" customHeight="1"/>
    <row r="56" ht="11.9" customHeight="1"/>
    <row r="57" ht="11.9" customHeight="1"/>
    <row r="58" ht="11.9" customHeight="1"/>
    <row r="59" ht="11.9" customHeight="1"/>
    <row r="60" ht="11.9" customHeight="1"/>
    <row r="61" ht="11.9" customHeight="1"/>
    <row r="62" ht="11.9" customHeight="1"/>
    <row r="63" ht="11.9" customHeight="1"/>
    <row r="64" ht="11.9" customHeight="1"/>
    <row r="79" spans="1:10">
      <c r="A79" s="10"/>
      <c r="B79" s="11"/>
      <c r="D79" s="11"/>
      <c r="F79" s="11"/>
      <c r="H79" s="11"/>
      <c r="J79" s="11"/>
    </row>
    <row r="80" spans="1:10">
      <c r="A80" s="12"/>
      <c r="B80" s="13"/>
      <c r="D80" s="13"/>
      <c r="F80" s="13"/>
      <c r="H80" s="13"/>
      <c r="J80" s="13"/>
    </row>
    <row r="81" spans="1:10">
      <c r="A81" s="14"/>
      <c r="B81" s="13"/>
      <c r="D81" s="13"/>
      <c r="F81" s="13"/>
      <c r="H81" s="13"/>
      <c r="J81" s="13"/>
    </row>
    <row r="82" spans="1:10">
      <c r="A82" s="14"/>
      <c r="B82" s="13"/>
      <c r="D82" s="13"/>
      <c r="F82" s="13"/>
      <c r="H82" s="13"/>
      <c r="J82" s="13"/>
    </row>
    <row r="83" spans="1:10">
      <c r="A83" s="14"/>
      <c r="B83" s="13"/>
      <c r="D83" s="13"/>
      <c r="F83" s="13"/>
      <c r="H83" s="13"/>
      <c r="J83" s="13"/>
    </row>
    <row r="84" spans="1:10">
      <c r="A84" s="14"/>
      <c r="B84" s="13"/>
      <c r="D84" s="13"/>
      <c r="F84" s="13"/>
      <c r="H84" s="13"/>
      <c r="J84" s="13"/>
    </row>
    <row r="85" spans="1:10">
      <c r="A85" s="14"/>
      <c r="B85" s="13"/>
      <c r="D85" s="13"/>
      <c r="F85" s="13"/>
      <c r="H85" s="13"/>
      <c r="J85" s="13"/>
    </row>
    <row r="86" spans="1:10">
      <c r="A86" s="14"/>
      <c r="B86" s="13"/>
      <c r="D86" s="13"/>
      <c r="F86" s="13"/>
      <c r="H86" s="13"/>
      <c r="J86" s="13"/>
    </row>
    <row r="87" spans="1:10">
      <c r="A87" s="12"/>
      <c r="B87" s="13"/>
      <c r="D87" s="13"/>
      <c r="F87" s="13"/>
      <c r="H87" s="13"/>
      <c r="J87" s="13"/>
    </row>
    <row r="88" spans="1:10">
      <c r="A88" s="12"/>
      <c r="B88" s="13"/>
      <c r="D88" s="13"/>
      <c r="F88" s="13"/>
      <c r="H88" s="13"/>
      <c r="J88" s="13"/>
    </row>
    <row r="89" spans="1:10">
      <c r="A89" s="12"/>
      <c r="B89" s="13"/>
      <c r="D89" s="13"/>
      <c r="F89" s="13"/>
      <c r="H89" s="13"/>
      <c r="J89" s="13"/>
    </row>
    <row r="90" spans="1:10">
      <c r="A90" s="12"/>
      <c r="B90" s="13"/>
      <c r="D90" s="13"/>
      <c r="F90" s="13"/>
      <c r="H90" s="13"/>
      <c r="J90" s="13"/>
    </row>
    <row r="91" spans="1:10">
      <c r="A91" s="12"/>
      <c r="B91" s="13"/>
      <c r="D91" s="13"/>
      <c r="F91" s="13"/>
      <c r="H91" s="13"/>
      <c r="J91" s="13"/>
    </row>
    <row r="92" spans="1:10">
      <c r="A92" s="12"/>
      <c r="B92" s="13"/>
      <c r="D92" s="13"/>
      <c r="F92" s="13"/>
      <c r="H92" s="13"/>
      <c r="J92" s="13"/>
    </row>
    <row r="93" spans="1:10">
      <c r="A93" s="12"/>
      <c r="B93" s="13"/>
      <c r="D93" s="13"/>
      <c r="F93" s="13"/>
      <c r="H93" s="13"/>
      <c r="J93" s="13"/>
    </row>
    <row r="94" spans="1:10">
      <c r="A94" s="14"/>
      <c r="B94" s="13"/>
      <c r="D94" s="13"/>
      <c r="F94" s="13"/>
      <c r="H94" s="13"/>
      <c r="J94" s="13"/>
    </row>
    <row r="95" spans="1:10">
      <c r="A95" s="14"/>
      <c r="B95" s="13"/>
      <c r="D95" s="13"/>
      <c r="F95" s="13"/>
      <c r="H95" s="13"/>
      <c r="J95" s="13"/>
    </row>
  </sheetData>
  <mergeCells count="9">
    <mergeCell ref="A10:A11"/>
    <mergeCell ref="J4:K4"/>
    <mergeCell ref="D4:E4"/>
    <mergeCell ref="F4:G4"/>
    <mergeCell ref="A4:A5"/>
    <mergeCell ref="B4:C4"/>
    <mergeCell ref="H4:I4"/>
    <mergeCell ref="A6:A7"/>
    <mergeCell ref="A8:A9"/>
  </mergeCells>
  <phoneticPr fontId="2"/>
  <printOptions horizontalCentered="1"/>
  <pageMargins left="0.19685039370078741" right="0.19685039370078741" top="0.78740157480314965" bottom="0.59055118110236227" header="0.51181102362204722" footer="0.39370078740157483"/>
  <pageSetup paperSize="9" scale="86" orientation="landscape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CAB91-860A-43BF-B633-E63003BE18D0}">
  <sheetPr codeName="Sheet15">
    <pageSetUpPr fitToPage="1"/>
  </sheetPr>
  <dimension ref="A1:K131"/>
  <sheetViews>
    <sheetView showGridLines="0" zoomScaleNormal="100" zoomScaleSheetLayoutView="100" workbookViewId="0"/>
  </sheetViews>
  <sheetFormatPr defaultColWidth="10.296875" defaultRowHeight="11"/>
  <cols>
    <col min="1" max="1" width="35.3984375" style="1" bestFit="1" customWidth="1"/>
    <col min="2" max="11" width="12.09765625" style="1" customWidth="1"/>
    <col min="12" max="16384" width="10.296875" style="1"/>
  </cols>
  <sheetData>
    <row r="1" spans="1:11" ht="19">
      <c r="A1" s="1" t="s">
        <v>130</v>
      </c>
      <c r="B1" s="2" t="s">
        <v>38</v>
      </c>
    </row>
    <row r="3" spans="1:11" ht="11.5" thickBot="1">
      <c r="K3" s="3" t="s">
        <v>1</v>
      </c>
    </row>
    <row r="4" spans="1:11" ht="12" customHeight="1" thickBot="1">
      <c r="A4" s="67" t="s">
        <v>2</v>
      </c>
      <c r="B4" s="70" t="s">
        <v>39</v>
      </c>
      <c r="C4" s="70"/>
      <c r="D4" s="70"/>
      <c r="E4" s="70"/>
      <c r="F4" s="70"/>
      <c r="G4" s="70" t="s">
        <v>40</v>
      </c>
      <c r="H4" s="70"/>
      <c r="I4" s="70"/>
      <c r="J4" s="70"/>
      <c r="K4" s="70"/>
    </row>
    <row r="5" spans="1:11" ht="12" customHeight="1" thickBot="1">
      <c r="A5" s="68"/>
      <c r="B5" s="30">
        <v>1999</v>
      </c>
      <c r="C5" s="30">
        <v>2000</v>
      </c>
      <c r="D5" s="30">
        <v>2001</v>
      </c>
      <c r="E5" s="30">
        <v>2002</v>
      </c>
      <c r="F5" s="30">
        <v>2003</v>
      </c>
      <c r="G5" s="30">
        <v>1999</v>
      </c>
      <c r="H5" s="30">
        <v>2000</v>
      </c>
      <c r="I5" s="30">
        <v>2001</v>
      </c>
      <c r="J5" s="30">
        <v>2002</v>
      </c>
      <c r="K5" s="30">
        <v>2003</v>
      </c>
    </row>
    <row r="6" spans="1:11" ht="12" customHeight="1">
      <c r="A6" s="66" t="s">
        <v>15</v>
      </c>
      <c r="B6" s="31"/>
      <c r="C6" s="31"/>
      <c r="D6" s="31"/>
      <c r="E6" s="31"/>
      <c r="F6" s="31"/>
      <c r="G6" s="31"/>
      <c r="H6" s="31"/>
      <c r="I6" s="31"/>
      <c r="J6" s="31"/>
      <c r="K6" s="31"/>
    </row>
    <row r="7" spans="1:11" ht="12" customHeight="1">
      <c r="A7" s="64"/>
      <c r="B7" s="20">
        <v>2.1156969999999999</v>
      </c>
      <c r="C7" s="20">
        <v>2.6246839999999998</v>
      </c>
      <c r="D7" s="20">
        <v>2.2090209999999999</v>
      </c>
      <c r="E7" s="20">
        <v>2.4150010000000002</v>
      </c>
      <c r="F7" s="20">
        <v>2.7512470000000002</v>
      </c>
      <c r="G7" s="20">
        <v>1.9460789999999999</v>
      </c>
      <c r="H7" s="20">
        <v>2.4993249999999998</v>
      </c>
      <c r="I7" s="20">
        <v>2.1108060000000002</v>
      </c>
      <c r="J7" s="20">
        <v>2.3368150000000001</v>
      </c>
      <c r="K7" s="20">
        <v>2.712189</v>
      </c>
    </row>
    <row r="8" spans="1:11" ht="12" customHeight="1">
      <c r="A8" s="64" t="s">
        <v>16</v>
      </c>
      <c r="B8" s="20"/>
      <c r="C8" s="20"/>
      <c r="D8" s="20"/>
      <c r="E8" s="20"/>
      <c r="F8" s="20"/>
      <c r="G8" s="20"/>
      <c r="H8" s="20"/>
      <c r="I8" s="20"/>
      <c r="J8" s="20"/>
      <c r="K8" s="20"/>
    </row>
    <row r="9" spans="1:11" ht="12" customHeight="1">
      <c r="A9" s="64"/>
      <c r="B9" s="20">
        <v>2.940226</v>
      </c>
      <c r="C9" s="20">
        <v>3.8029540000000002</v>
      </c>
      <c r="D9" s="20">
        <v>2.686159</v>
      </c>
      <c r="E9" s="20">
        <v>3.2303950000000001</v>
      </c>
      <c r="F9" s="20">
        <v>3.8811550000000001</v>
      </c>
      <c r="G9" s="20">
        <v>2.8580429999999999</v>
      </c>
      <c r="H9" s="20">
        <v>3.9018169999999999</v>
      </c>
      <c r="I9" s="20">
        <v>2.7729879999999998</v>
      </c>
      <c r="J9" s="20">
        <v>3.2153879999999999</v>
      </c>
      <c r="K9" s="20">
        <v>3.919035</v>
      </c>
    </row>
    <row r="10" spans="1:11" ht="12" customHeight="1">
      <c r="A10" s="64" t="s">
        <v>17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</row>
    <row r="11" spans="1:11" ht="12" customHeight="1">
      <c r="A11" s="64"/>
      <c r="B11" s="20">
        <v>3.7255590000000001</v>
      </c>
      <c r="C11" s="20">
        <v>3.003476</v>
      </c>
      <c r="D11" s="20">
        <v>2.8639950000000001</v>
      </c>
      <c r="E11" s="20">
        <v>2.7666569999999999</v>
      </c>
      <c r="F11" s="20">
        <v>3.2846959999999998</v>
      </c>
      <c r="G11" s="20">
        <v>3.6249289999999998</v>
      </c>
      <c r="H11" s="20">
        <v>3.0441579999999999</v>
      </c>
      <c r="I11" s="20">
        <v>2.9584570000000001</v>
      </c>
      <c r="J11" s="20">
        <v>2.8417349999999999</v>
      </c>
      <c r="K11" s="20">
        <v>3.1922799999999998</v>
      </c>
    </row>
    <row r="12" spans="1:11" ht="12" customHeight="1">
      <c r="A12" s="64" t="s">
        <v>18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2" customHeight="1">
      <c r="A13" s="64"/>
      <c r="B13" s="20">
        <v>2.9564550000000001</v>
      </c>
      <c r="C13" s="20">
        <v>3.8651900000000001</v>
      </c>
      <c r="D13" s="20">
        <v>2.8514550000000001</v>
      </c>
      <c r="E13" s="20">
        <v>2.5804330000000002</v>
      </c>
      <c r="F13" s="20">
        <v>3.533417</v>
      </c>
      <c r="G13" s="20">
        <v>3.4044940000000001</v>
      </c>
      <c r="H13" s="20">
        <v>4.0084400000000002</v>
      </c>
      <c r="I13" s="20">
        <v>2.903327</v>
      </c>
      <c r="J13" s="20">
        <v>2.735522</v>
      </c>
      <c r="K13" s="20">
        <v>3.639551</v>
      </c>
    </row>
    <row r="14" spans="1:11" ht="12" customHeight="1">
      <c r="A14" s="64" t="s">
        <v>19</v>
      </c>
      <c r="B14" s="32"/>
      <c r="C14" s="32"/>
      <c r="D14" s="32"/>
      <c r="E14" s="32"/>
      <c r="F14" s="32"/>
      <c r="G14" s="32"/>
      <c r="H14" s="32"/>
      <c r="I14" s="32"/>
      <c r="J14" s="32"/>
      <c r="K14" s="32"/>
    </row>
    <row r="15" spans="1:11" ht="12" customHeight="1">
      <c r="A15" s="64"/>
      <c r="B15" s="20">
        <v>7.5689770000000003</v>
      </c>
      <c r="C15" s="20">
        <v>8.1222309999999993</v>
      </c>
      <c r="D15" s="20">
        <v>7.1480189999999997</v>
      </c>
      <c r="E15" s="20">
        <v>7.5638490000000003</v>
      </c>
      <c r="F15" s="20">
        <v>7.4756609999999997</v>
      </c>
      <c r="G15" s="20">
        <v>7.6714010000000004</v>
      </c>
      <c r="H15" s="20">
        <v>8.3451360000000001</v>
      </c>
      <c r="I15" s="20">
        <v>7.3137359999999996</v>
      </c>
      <c r="J15" s="20">
        <v>7.6333909999999996</v>
      </c>
      <c r="K15" s="20">
        <v>7.4976289999999999</v>
      </c>
    </row>
    <row r="16" spans="1:11" ht="12" customHeight="1">
      <c r="A16" s="64" t="s">
        <v>20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2" customHeight="1">
      <c r="A17" s="64"/>
      <c r="B17" s="20">
        <v>1.6218619999999999</v>
      </c>
      <c r="C17" s="20">
        <v>2.003063</v>
      </c>
      <c r="D17" s="20">
        <v>2.3111000000000002</v>
      </c>
      <c r="E17" s="20">
        <v>2.152596</v>
      </c>
      <c r="F17" s="20">
        <v>3.3770380000000002</v>
      </c>
      <c r="G17" s="20">
        <v>1.911805</v>
      </c>
      <c r="H17" s="20">
        <v>2.4047230000000002</v>
      </c>
      <c r="I17" s="20">
        <v>2.4243199999999998</v>
      </c>
      <c r="J17" s="20">
        <v>2.0857199999999998</v>
      </c>
      <c r="K17" s="20">
        <v>3.508975</v>
      </c>
    </row>
    <row r="18" spans="1:11" ht="12" customHeight="1">
      <c r="A18" s="64" t="s">
        <v>21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2" customHeight="1">
      <c r="A19" s="64"/>
      <c r="B19" s="20">
        <v>2.0852740000000001</v>
      </c>
      <c r="C19" s="20">
        <v>4.0140469999999997</v>
      </c>
      <c r="D19" s="20">
        <v>2.5252140000000001</v>
      </c>
      <c r="E19" s="20">
        <v>2.2350840000000001</v>
      </c>
      <c r="F19" s="20">
        <v>3.7451270000000001</v>
      </c>
      <c r="G19" s="20">
        <v>1.640709</v>
      </c>
      <c r="H19" s="20">
        <v>4.0235539999999999</v>
      </c>
      <c r="I19" s="20">
        <v>2.7385600000000001</v>
      </c>
      <c r="J19" s="20">
        <v>2.2732299999999999</v>
      </c>
      <c r="K19" s="20">
        <v>3.559761</v>
      </c>
    </row>
    <row r="20" spans="1:11" ht="12" customHeight="1">
      <c r="A20" s="64" t="s">
        <v>22</v>
      </c>
      <c r="B20" s="32"/>
      <c r="C20" s="32"/>
      <c r="D20" s="32"/>
      <c r="E20" s="32"/>
      <c r="F20" s="32"/>
      <c r="G20" s="32"/>
      <c r="H20" s="32"/>
      <c r="I20" s="32"/>
      <c r="J20" s="32"/>
      <c r="K20" s="32"/>
    </row>
    <row r="21" spans="1:11" ht="12" customHeight="1">
      <c r="A21" s="64"/>
      <c r="B21" s="20">
        <v>2.4159809999999999</v>
      </c>
      <c r="C21" s="20">
        <v>3.8652630000000001</v>
      </c>
      <c r="D21" s="20">
        <v>-6.4496999999999999E-2</v>
      </c>
      <c r="E21" s="20">
        <v>1.5327409999999999</v>
      </c>
      <c r="F21" s="20">
        <v>2.7941980000000002</v>
      </c>
      <c r="G21" s="20">
        <v>2.3090660000000001</v>
      </c>
      <c r="H21" s="20">
        <v>3.9662540000000002</v>
      </c>
      <c r="I21" s="20">
        <v>0.10304199999999999</v>
      </c>
      <c r="J21" s="20">
        <v>1.741762</v>
      </c>
      <c r="K21" s="20">
        <v>3.0573839999999999</v>
      </c>
    </row>
    <row r="22" spans="1:11" ht="12" customHeight="1">
      <c r="A22" s="64" t="s">
        <v>23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</row>
    <row r="23" spans="1:11" ht="12" customHeight="1">
      <c r="A23" s="64"/>
      <c r="B23" s="20">
        <v>2.6140789999999998</v>
      </c>
      <c r="C23" s="20">
        <v>3.1337100000000002</v>
      </c>
      <c r="D23" s="20">
        <v>4.3515100000000002</v>
      </c>
      <c r="E23" s="20">
        <v>4.8012030000000001</v>
      </c>
      <c r="F23" s="20">
        <v>4.5522099999999996</v>
      </c>
      <c r="G23" s="20">
        <v>2.8361619999999998</v>
      </c>
      <c r="H23" s="20">
        <v>3.570125</v>
      </c>
      <c r="I23" s="20">
        <v>4.4252669999999998</v>
      </c>
      <c r="J23" s="20">
        <v>4.8480109999999996</v>
      </c>
      <c r="K23" s="20">
        <v>4.91751</v>
      </c>
    </row>
    <row r="24" spans="1:11" ht="12" customHeight="1">
      <c r="A24" s="64" t="s">
        <v>24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</row>
    <row r="25" spans="1:11" ht="12" customHeight="1">
      <c r="A25" s="64"/>
      <c r="B25" s="20">
        <v>1.7859080000000001</v>
      </c>
      <c r="C25" s="20">
        <v>2.1355249999999999</v>
      </c>
      <c r="D25" s="20">
        <v>2.0178069999999999</v>
      </c>
      <c r="E25" s="20">
        <v>2.090713</v>
      </c>
      <c r="F25" s="20">
        <v>2.2932630000000001</v>
      </c>
      <c r="G25" s="20">
        <v>1.5813189999999999</v>
      </c>
      <c r="H25" s="20">
        <v>1.917079</v>
      </c>
      <c r="I25" s="20">
        <v>1.8454349999999999</v>
      </c>
      <c r="J25" s="20">
        <v>1.987401</v>
      </c>
      <c r="K25" s="20">
        <v>2.22302</v>
      </c>
    </row>
    <row r="26" spans="1:11" ht="12" customHeight="1">
      <c r="A26" s="64" t="s">
        <v>25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</row>
    <row r="27" spans="1:11" ht="12" customHeight="1">
      <c r="A27" s="64"/>
      <c r="B27" s="20">
        <v>1.4222710000000001</v>
      </c>
      <c r="C27" s="20">
        <v>1.5764640000000001</v>
      </c>
      <c r="D27" s="20">
        <v>1.370927</v>
      </c>
      <c r="E27" s="20">
        <v>1.267795</v>
      </c>
      <c r="F27" s="20">
        <v>1.433754</v>
      </c>
      <c r="G27" s="20">
        <v>1.5305629999999999</v>
      </c>
      <c r="H27" s="20">
        <v>1.6078030000000001</v>
      </c>
      <c r="I27" s="20">
        <v>1.359764</v>
      </c>
      <c r="J27" s="20">
        <v>1.3381259999999999</v>
      </c>
      <c r="K27" s="20">
        <v>1.5600259999999999</v>
      </c>
    </row>
    <row r="28" spans="1:11" ht="12" customHeight="1">
      <c r="A28" s="64" t="s">
        <v>26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</row>
    <row r="29" spans="1:11" ht="12" customHeight="1">
      <c r="A29" s="64"/>
      <c r="B29" s="20">
        <v>0.71059499999999998</v>
      </c>
      <c r="C29" s="20">
        <v>1.0042800000000001</v>
      </c>
      <c r="D29" s="20">
        <v>0.80959599999999998</v>
      </c>
      <c r="E29" s="20">
        <v>0.96602399999999999</v>
      </c>
      <c r="F29" s="20">
        <v>1.168301</v>
      </c>
      <c r="G29" s="20">
        <v>0.954569</v>
      </c>
      <c r="H29" s="20">
        <v>1.1666879999999999</v>
      </c>
      <c r="I29" s="20">
        <v>1.0585560000000001</v>
      </c>
      <c r="J29" s="20">
        <v>1.1504099999999999</v>
      </c>
      <c r="K29" s="20">
        <v>1.3335889999999999</v>
      </c>
    </row>
    <row r="30" spans="1:11" ht="12" customHeight="1">
      <c r="A30" s="64" t="s">
        <v>27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</row>
    <row r="31" spans="1:11" ht="12" customHeight="1">
      <c r="A31" s="64"/>
      <c r="B31" s="20">
        <v>7.8671410000000002</v>
      </c>
      <c r="C31" s="20">
        <v>8.6231539999999995</v>
      </c>
      <c r="D31" s="20">
        <v>9.7259180000000001</v>
      </c>
      <c r="E31" s="20">
        <v>9.6145019999999999</v>
      </c>
      <c r="F31" s="20">
        <v>7.4969640000000002</v>
      </c>
      <c r="G31" s="20">
        <v>3.3949790000000002</v>
      </c>
      <c r="H31" s="20">
        <v>5.2599320000000001</v>
      </c>
      <c r="I31" s="20">
        <v>6.0866639999999999</v>
      </c>
      <c r="J31" s="20">
        <v>7.1335100000000002</v>
      </c>
      <c r="K31" s="20">
        <v>5.2290780000000003</v>
      </c>
    </row>
    <row r="32" spans="1:11" ht="12" customHeight="1">
      <c r="A32" s="64" t="s">
        <v>28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</row>
    <row r="33" spans="1:11" ht="12" customHeight="1">
      <c r="A33" s="64"/>
      <c r="B33" s="20">
        <v>4.1681780000000002</v>
      </c>
      <c r="C33" s="20">
        <v>4.3625970000000001</v>
      </c>
      <c r="D33" s="20">
        <v>3.6778940000000002</v>
      </c>
      <c r="E33" s="20">
        <v>5.15177</v>
      </c>
      <c r="F33" s="20">
        <v>5.0581230000000001</v>
      </c>
      <c r="G33" s="20">
        <v>2.9002870000000001</v>
      </c>
      <c r="H33" s="20">
        <v>3.210242</v>
      </c>
      <c r="I33" s="20">
        <v>2.7486280000000001</v>
      </c>
      <c r="J33" s="20">
        <v>4.47058</v>
      </c>
      <c r="K33" s="20">
        <v>4.5954079999999999</v>
      </c>
    </row>
    <row r="34" spans="1:11" ht="12" customHeight="1">
      <c r="A34" s="64" t="s">
        <v>29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</row>
    <row r="35" spans="1:11" ht="12" customHeight="1">
      <c r="A35" s="64"/>
      <c r="B35" s="20">
        <v>13.722225</v>
      </c>
      <c r="C35" s="20">
        <v>13.458432</v>
      </c>
      <c r="D35" s="20">
        <v>12.599949000000001</v>
      </c>
      <c r="E35" s="20">
        <v>11.983684</v>
      </c>
      <c r="F35" s="20">
        <v>12.019456</v>
      </c>
      <c r="G35" s="20">
        <v>6.3858639999999998</v>
      </c>
      <c r="H35" s="20">
        <v>6.6593359999999997</v>
      </c>
      <c r="I35" s="20">
        <v>6.4525499999999996</v>
      </c>
      <c r="J35" s="20">
        <v>6.454574</v>
      </c>
      <c r="K35" s="20">
        <v>7.0898620000000001</v>
      </c>
    </row>
    <row r="36" spans="1:11" ht="12" customHeight="1">
      <c r="A36" s="64" t="s">
        <v>30</v>
      </c>
      <c r="B36" s="32"/>
      <c r="C36" s="32"/>
      <c r="D36" s="32"/>
      <c r="E36" s="32"/>
      <c r="F36" s="32"/>
      <c r="G36" s="32"/>
      <c r="H36" s="32"/>
      <c r="I36" s="32"/>
      <c r="J36" s="32"/>
      <c r="K36" s="32"/>
    </row>
    <row r="37" spans="1:11" ht="12" customHeight="1" thickBot="1">
      <c r="A37" s="64"/>
      <c r="B37" s="20">
        <v>2.2009799999999999</v>
      </c>
      <c r="C37" s="20">
        <v>2.7583000000000002</v>
      </c>
      <c r="D37" s="20">
        <v>3.001045</v>
      </c>
      <c r="E37" s="20">
        <v>2.1949839999999998</v>
      </c>
      <c r="F37" s="20">
        <v>2.8978489999999999</v>
      </c>
      <c r="G37" s="20">
        <v>2.1877939999999998</v>
      </c>
      <c r="H37" s="20">
        <v>2.6489769999999999</v>
      </c>
      <c r="I37" s="20">
        <v>2.8828870000000002</v>
      </c>
      <c r="J37" s="20">
        <v>2.2617980000000002</v>
      </c>
      <c r="K37" s="20">
        <v>2.9690099999999999</v>
      </c>
    </row>
    <row r="38" spans="1:11" ht="12" customHeight="1">
      <c r="A38" s="66" t="s">
        <v>6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</row>
    <row r="39" spans="1:11" ht="12" customHeight="1">
      <c r="A39" s="64"/>
      <c r="B39" s="20"/>
      <c r="C39" s="20"/>
      <c r="D39" s="20"/>
      <c r="E39" s="20"/>
      <c r="F39" s="20"/>
      <c r="G39" s="20"/>
      <c r="H39" s="20"/>
      <c r="I39" s="20"/>
      <c r="J39" s="20"/>
      <c r="K39" s="20"/>
    </row>
    <row r="40" spans="1:11" ht="12" customHeight="1">
      <c r="A40" s="64" t="s">
        <v>7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</row>
    <row r="41" spans="1:11" ht="12" customHeight="1">
      <c r="A41" s="64"/>
      <c r="B41" s="20">
        <v>3.580921</v>
      </c>
      <c r="C41" s="20">
        <v>4.1063419999999997</v>
      </c>
      <c r="D41" s="20">
        <v>3.3353579999999998</v>
      </c>
      <c r="E41" s="20">
        <v>3.9896609999999999</v>
      </c>
      <c r="F41" s="20">
        <v>4.3622639999999997</v>
      </c>
      <c r="G41" s="20">
        <v>3.024994</v>
      </c>
      <c r="H41" s="20">
        <v>3.680402</v>
      </c>
      <c r="I41" s="20">
        <v>2.9917289999999999</v>
      </c>
      <c r="J41" s="20">
        <v>3.6639330000000001</v>
      </c>
      <c r="K41" s="20">
        <v>4.1279389999999996</v>
      </c>
    </row>
    <row r="42" spans="1:11" ht="12" customHeight="1">
      <c r="A42" s="64" t="s">
        <v>8</v>
      </c>
      <c r="B42" s="20"/>
      <c r="C42" s="20"/>
      <c r="D42" s="20"/>
      <c r="E42" s="20"/>
      <c r="F42" s="20"/>
      <c r="G42" s="20"/>
      <c r="H42" s="20"/>
      <c r="I42" s="20"/>
      <c r="J42" s="20"/>
      <c r="K42" s="20"/>
    </row>
    <row r="43" spans="1:11" ht="12" customHeight="1">
      <c r="A43" s="64"/>
      <c r="B43" s="20">
        <v>2.154299</v>
      </c>
      <c r="C43" s="20">
        <v>2.4324720000000002</v>
      </c>
      <c r="D43" s="20">
        <v>2.0890710000000001</v>
      </c>
      <c r="E43" s="20">
        <v>2.4156550000000001</v>
      </c>
      <c r="F43" s="20">
        <v>2.7440880000000001</v>
      </c>
      <c r="G43" s="20">
        <v>2.0170780000000001</v>
      </c>
      <c r="H43" s="20">
        <v>2.3338489999999998</v>
      </c>
      <c r="I43" s="20">
        <v>2.0081060000000002</v>
      </c>
      <c r="J43" s="20">
        <v>2.2937120000000002</v>
      </c>
      <c r="K43" s="20">
        <v>2.6539459999999999</v>
      </c>
    </row>
    <row r="44" spans="1:11" ht="12" customHeight="1">
      <c r="A44" s="64" t="s">
        <v>9</v>
      </c>
      <c r="B44" s="32"/>
      <c r="C44" s="32"/>
      <c r="D44" s="32"/>
      <c r="E44" s="32"/>
      <c r="F44" s="32"/>
      <c r="G44" s="32"/>
      <c r="H44" s="32"/>
      <c r="I44" s="32"/>
      <c r="J44" s="32"/>
      <c r="K44" s="32"/>
    </row>
    <row r="45" spans="1:11" ht="12" customHeight="1">
      <c r="A45" s="64"/>
      <c r="B45" s="20">
        <v>1.340336</v>
      </c>
      <c r="C45" s="20">
        <v>1.809623</v>
      </c>
      <c r="D45" s="20">
        <v>1.5762560000000001</v>
      </c>
      <c r="E45" s="20">
        <v>1.5159100000000001</v>
      </c>
      <c r="F45" s="20">
        <v>1.6321209999999999</v>
      </c>
      <c r="G45" s="20">
        <v>1.3894789999999999</v>
      </c>
      <c r="H45" s="20">
        <v>1.850687</v>
      </c>
      <c r="I45" s="20">
        <v>1.60578</v>
      </c>
      <c r="J45" s="20">
        <v>1.600752</v>
      </c>
      <c r="K45" s="20">
        <v>1.7093050000000001</v>
      </c>
    </row>
    <row r="46" spans="1:11" ht="12" customHeight="1">
      <c r="A46" s="64" t="s">
        <v>10</v>
      </c>
      <c r="B46" s="20"/>
      <c r="C46" s="20"/>
      <c r="D46" s="20"/>
      <c r="E46" s="20"/>
      <c r="F46" s="20"/>
      <c r="G46" s="20"/>
      <c r="H46" s="20"/>
      <c r="I46" s="20"/>
      <c r="J46" s="20"/>
      <c r="K46" s="20"/>
    </row>
    <row r="47" spans="1:11" ht="12" customHeight="1" thickBot="1">
      <c r="A47" s="65"/>
      <c r="B47" s="23">
        <v>-0.76226799999999995</v>
      </c>
      <c r="C47" s="23">
        <v>3.0301000000000002E-2</v>
      </c>
      <c r="D47" s="23">
        <v>5.0132000000000003E-2</v>
      </c>
      <c r="E47" s="23">
        <v>-0.77389799999999997</v>
      </c>
      <c r="F47" s="23">
        <v>0.39382400000000001</v>
      </c>
      <c r="G47" s="23">
        <v>-0.32453900000000002</v>
      </c>
      <c r="H47" s="23">
        <v>0.45172000000000001</v>
      </c>
      <c r="I47" s="23">
        <v>0.49168000000000001</v>
      </c>
      <c r="J47" s="23">
        <v>-0.37549500000000002</v>
      </c>
      <c r="K47" s="23">
        <v>0.84142899999999998</v>
      </c>
    </row>
    <row r="48" spans="1:11" ht="11.9" customHeight="1">
      <c r="A48" s="12"/>
      <c r="B48" s="13"/>
      <c r="C48" s="14"/>
      <c r="D48" s="13"/>
      <c r="E48" s="14"/>
      <c r="F48" s="13"/>
      <c r="G48" s="13"/>
      <c r="H48" s="14"/>
      <c r="I48" s="13"/>
      <c r="J48" s="14"/>
      <c r="K48" s="13"/>
    </row>
    <row r="49" spans="1:11" ht="11.9" customHeight="1">
      <c r="A49" s="12"/>
      <c r="B49" s="13"/>
      <c r="C49" s="14"/>
      <c r="D49" s="13"/>
      <c r="E49" s="14"/>
      <c r="F49" s="13"/>
      <c r="G49" s="13"/>
      <c r="H49" s="14"/>
      <c r="I49" s="13"/>
      <c r="J49" s="14"/>
      <c r="K49" s="13"/>
    </row>
    <row r="50" spans="1:11" ht="11.9" customHeight="1">
      <c r="A50" s="12"/>
      <c r="B50" s="13"/>
      <c r="C50" s="14"/>
      <c r="D50" s="13"/>
      <c r="E50" s="14"/>
      <c r="F50" s="13"/>
      <c r="G50" s="13"/>
      <c r="H50" s="14"/>
      <c r="I50" s="13"/>
      <c r="J50" s="14"/>
      <c r="K50" s="13"/>
    </row>
    <row r="51" spans="1:11" ht="11.9" customHeight="1">
      <c r="A51" s="24"/>
      <c r="B51" s="13"/>
      <c r="C51" s="14"/>
      <c r="D51" s="13"/>
      <c r="E51" s="14"/>
      <c r="F51" s="13"/>
      <c r="G51" s="13"/>
      <c r="H51" s="14"/>
      <c r="I51" s="13"/>
      <c r="J51" s="14"/>
      <c r="K51" s="13"/>
    </row>
    <row r="52" spans="1:11" ht="11.9" customHeight="1">
      <c r="A52" s="12"/>
      <c r="B52" s="13"/>
      <c r="C52" s="14"/>
      <c r="D52" s="13"/>
      <c r="E52" s="14"/>
      <c r="F52" s="13"/>
      <c r="G52" s="13"/>
      <c r="H52" s="14"/>
      <c r="I52" s="13"/>
      <c r="J52" s="14"/>
      <c r="K52" s="13"/>
    </row>
    <row r="53" spans="1:11" ht="11.9" customHeight="1">
      <c r="A53" s="12"/>
      <c r="B53" s="13"/>
      <c r="C53" s="14"/>
      <c r="D53" s="13"/>
      <c r="E53" s="14"/>
      <c r="F53" s="13"/>
      <c r="G53" s="13"/>
      <c r="H53" s="14"/>
      <c r="I53" s="13"/>
      <c r="J53" s="14"/>
      <c r="K53" s="13"/>
    </row>
    <row r="54" spans="1:11" ht="11.9" customHeight="1">
      <c r="A54" s="12"/>
      <c r="B54" s="13"/>
      <c r="C54" s="14"/>
      <c r="D54" s="13"/>
      <c r="E54" s="14"/>
      <c r="F54" s="13"/>
      <c r="G54" s="13"/>
      <c r="H54" s="14"/>
      <c r="I54" s="13"/>
      <c r="J54" s="14"/>
      <c r="K54" s="13"/>
    </row>
    <row r="55" spans="1:11" ht="11.9" customHeight="1">
      <c r="A55" s="12"/>
      <c r="B55" s="13"/>
      <c r="C55" s="14"/>
      <c r="D55" s="13"/>
      <c r="E55" s="14"/>
      <c r="F55" s="13"/>
      <c r="G55" s="13"/>
      <c r="H55" s="14"/>
      <c r="I55" s="13"/>
      <c r="J55" s="14"/>
      <c r="K55" s="13"/>
    </row>
    <row r="56" spans="1:11" ht="11.9" customHeight="1">
      <c r="A56" s="12"/>
      <c r="B56" s="13"/>
      <c r="C56" s="14"/>
      <c r="D56" s="13"/>
      <c r="E56" s="14"/>
      <c r="F56" s="13"/>
      <c r="G56" s="13"/>
      <c r="H56" s="14"/>
      <c r="I56" s="13"/>
      <c r="J56" s="14"/>
      <c r="K56" s="13"/>
    </row>
    <row r="57" spans="1:11" ht="11.9" customHeight="1">
      <c r="A57" s="12"/>
      <c r="B57" s="13"/>
      <c r="C57" s="14"/>
      <c r="D57" s="13"/>
      <c r="E57" s="14"/>
      <c r="F57" s="13"/>
      <c r="G57" s="13"/>
      <c r="H57" s="14"/>
      <c r="I57" s="13"/>
      <c r="J57" s="14"/>
      <c r="K57" s="13"/>
    </row>
    <row r="58" spans="1:11" ht="11.9" customHeight="1">
      <c r="A58" s="12"/>
      <c r="B58" s="13"/>
      <c r="C58" s="14"/>
      <c r="D58" s="13"/>
      <c r="E58" s="14"/>
      <c r="F58" s="13"/>
      <c r="G58" s="13"/>
      <c r="H58" s="14"/>
      <c r="I58" s="13"/>
      <c r="J58" s="14"/>
      <c r="K58" s="13"/>
    </row>
    <row r="59" spans="1:11" ht="11.9" customHeight="1">
      <c r="A59" s="12"/>
      <c r="B59" s="13"/>
      <c r="C59" s="14"/>
      <c r="D59" s="13"/>
      <c r="E59" s="14"/>
      <c r="F59" s="13"/>
      <c r="G59" s="13"/>
      <c r="H59" s="14"/>
      <c r="I59" s="13"/>
      <c r="J59" s="14"/>
      <c r="K59" s="13"/>
    </row>
    <row r="60" spans="1:11" ht="11.9" customHeight="1">
      <c r="A60" s="12"/>
      <c r="B60" s="13"/>
      <c r="C60" s="14"/>
      <c r="D60" s="13"/>
      <c r="E60" s="14"/>
      <c r="F60" s="13"/>
      <c r="G60" s="13"/>
      <c r="H60" s="14"/>
      <c r="I60" s="13"/>
      <c r="J60" s="14"/>
      <c r="K60" s="13"/>
    </row>
    <row r="61" spans="1:11" ht="11.9" customHeight="1">
      <c r="A61" s="12"/>
      <c r="B61" s="13"/>
      <c r="C61" s="14"/>
      <c r="D61" s="13"/>
      <c r="E61" s="14"/>
      <c r="F61" s="13"/>
      <c r="G61" s="13"/>
      <c r="H61" s="14"/>
      <c r="I61" s="13"/>
      <c r="J61" s="14"/>
      <c r="K61" s="13"/>
    </row>
    <row r="62" spans="1:11" ht="11.9" customHeight="1">
      <c r="A62" s="12"/>
      <c r="B62" s="13"/>
      <c r="C62" s="14"/>
      <c r="D62" s="13"/>
      <c r="E62" s="14"/>
      <c r="F62" s="13"/>
      <c r="G62" s="13"/>
      <c r="H62" s="14"/>
      <c r="I62" s="13"/>
      <c r="J62" s="14"/>
      <c r="K62" s="13"/>
    </row>
    <row r="63" spans="1:11" ht="11.9" customHeight="1">
      <c r="A63" s="12"/>
      <c r="B63" s="13"/>
      <c r="C63" s="14"/>
      <c r="D63" s="13"/>
      <c r="E63" s="14"/>
      <c r="F63" s="13"/>
      <c r="G63" s="13"/>
      <c r="H63" s="14"/>
      <c r="I63" s="13"/>
      <c r="J63" s="14"/>
      <c r="K63" s="13"/>
    </row>
    <row r="64" spans="1:11" ht="11.9" customHeight="1">
      <c r="A64" s="12"/>
      <c r="B64" s="13"/>
      <c r="C64" s="14"/>
      <c r="D64" s="13"/>
      <c r="E64" s="14"/>
      <c r="F64" s="13"/>
      <c r="G64" s="13"/>
      <c r="H64" s="14"/>
      <c r="I64" s="13"/>
      <c r="J64" s="14"/>
      <c r="K64" s="13"/>
    </row>
    <row r="65" spans="1:11" ht="11.9" customHeight="1">
      <c r="A65" s="12"/>
      <c r="B65" s="13"/>
      <c r="C65" s="14"/>
      <c r="D65" s="13"/>
      <c r="E65" s="14"/>
      <c r="F65" s="13"/>
      <c r="G65" s="13"/>
      <c r="H65" s="14"/>
      <c r="I65" s="13"/>
      <c r="J65" s="14"/>
      <c r="K65" s="13"/>
    </row>
    <row r="66" spans="1:11" ht="11.9" customHeight="1">
      <c r="A66" s="12"/>
      <c r="B66" s="13"/>
      <c r="C66" s="14"/>
      <c r="D66" s="13"/>
      <c r="E66" s="14"/>
      <c r="F66" s="13"/>
      <c r="G66" s="13"/>
      <c r="H66" s="14"/>
      <c r="I66" s="13"/>
      <c r="J66" s="14"/>
      <c r="K66" s="13"/>
    </row>
    <row r="67" spans="1:11" ht="11.9" customHeight="1">
      <c r="A67" s="12"/>
      <c r="B67" s="13"/>
      <c r="C67" s="14"/>
      <c r="D67" s="13"/>
      <c r="E67" s="14"/>
      <c r="F67" s="13"/>
      <c r="G67" s="13"/>
      <c r="H67" s="14"/>
      <c r="I67" s="13"/>
      <c r="J67" s="14"/>
      <c r="K67" s="13"/>
    </row>
    <row r="68" spans="1:11" ht="11.9" customHeight="1">
      <c r="A68" s="12"/>
      <c r="B68" s="13"/>
      <c r="C68" s="14"/>
      <c r="D68" s="13"/>
      <c r="E68" s="14"/>
      <c r="F68" s="13"/>
      <c r="G68" s="13"/>
      <c r="H68" s="14"/>
      <c r="I68" s="13"/>
      <c r="J68" s="14"/>
      <c r="K68" s="13"/>
    </row>
    <row r="69" spans="1:11" ht="11.9" customHeight="1">
      <c r="A69" s="12"/>
      <c r="B69" s="13"/>
      <c r="C69" s="14"/>
      <c r="D69" s="13"/>
      <c r="E69" s="14"/>
      <c r="F69" s="13"/>
      <c r="G69" s="13"/>
      <c r="H69" s="14"/>
      <c r="I69" s="13"/>
      <c r="J69" s="14"/>
      <c r="K69" s="13"/>
    </row>
    <row r="70" spans="1:11" ht="11.9" customHeight="1">
      <c r="A70" s="12"/>
      <c r="B70" s="13"/>
      <c r="C70" s="14"/>
      <c r="D70" s="13"/>
      <c r="E70" s="14"/>
      <c r="F70" s="13"/>
      <c r="G70" s="13"/>
      <c r="H70" s="14"/>
      <c r="I70" s="13"/>
      <c r="J70" s="14"/>
      <c r="K70" s="13"/>
    </row>
    <row r="71" spans="1:11" ht="11.9" customHeight="1">
      <c r="A71" s="12"/>
      <c r="B71" s="13"/>
      <c r="C71" s="14"/>
      <c r="D71" s="13"/>
      <c r="E71" s="14"/>
      <c r="F71" s="13"/>
      <c r="G71" s="13"/>
      <c r="H71" s="14"/>
      <c r="I71" s="13"/>
      <c r="J71" s="14"/>
      <c r="K71" s="13"/>
    </row>
    <row r="72" spans="1:11" ht="11.9" customHeight="1">
      <c r="A72" s="12"/>
      <c r="B72" s="13"/>
      <c r="C72" s="14"/>
      <c r="D72" s="13"/>
      <c r="E72" s="14"/>
      <c r="F72" s="13"/>
      <c r="G72" s="13"/>
      <c r="H72" s="14"/>
      <c r="I72" s="13"/>
      <c r="J72" s="14"/>
      <c r="K72" s="13"/>
    </row>
    <row r="73" spans="1:11" ht="11.9" customHeight="1"/>
    <row r="74" spans="1:11" ht="11.9" customHeight="1"/>
    <row r="75" spans="1:11" ht="11.9" customHeight="1"/>
    <row r="76" spans="1:11" ht="11.9" customHeight="1"/>
    <row r="77" spans="1:11" ht="11.9" customHeight="1"/>
    <row r="78" spans="1:11" ht="11.9" customHeight="1"/>
    <row r="79" spans="1:11" ht="11.9" customHeight="1"/>
    <row r="80" spans="1:11" ht="11.9" customHeight="1"/>
    <row r="81" ht="11.9" customHeight="1"/>
    <row r="82" ht="11.9" customHeight="1"/>
    <row r="83" ht="11.9" customHeight="1"/>
    <row r="84" ht="11.9" customHeight="1"/>
    <row r="85" ht="11.9" customHeight="1"/>
    <row r="86" ht="11.9" customHeight="1"/>
    <row r="87" ht="11.9" customHeight="1"/>
    <row r="88" ht="11.9" customHeight="1"/>
    <row r="89" ht="11.9" customHeight="1"/>
    <row r="90" ht="11.9" customHeight="1"/>
    <row r="91" ht="11.9" customHeight="1"/>
    <row r="92" ht="11.9" customHeight="1"/>
    <row r="93" ht="11.9" customHeight="1"/>
    <row r="94" ht="11.9" customHeight="1"/>
    <row r="95" ht="11.9" customHeight="1"/>
    <row r="96" ht="11.9" customHeight="1"/>
    <row r="97" ht="11.9" customHeight="1"/>
    <row r="98" ht="11.9" customHeight="1"/>
    <row r="99" ht="11.9" customHeight="1"/>
    <row r="100" ht="11.9" customHeight="1"/>
    <row r="115" spans="1:11">
      <c r="A115" s="10"/>
      <c r="B115" s="11"/>
      <c r="D115" s="11"/>
      <c r="F115" s="11"/>
      <c r="G115" s="11"/>
      <c r="I115" s="11"/>
      <c r="K115" s="11"/>
    </row>
    <row r="116" spans="1:11">
      <c r="A116" s="12"/>
      <c r="B116" s="13"/>
      <c r="D116" s="13"/>
      <c r="F116" s="13"/>
      <c r="G116" s="13"/>
      <c r="I116" s="13"/>
      <c r="K116" s="13"/>
    </row>
    <row r="117" spans="1:11">
      <c r="A117" s="14"/>
      <c r="B117" s="13"/>
      <c r="D117" s="13"/>
      <c r="F117" s="13"/>
      <c r="G117" s="13"/>
      <c r="I117" s="13"/>
      <c r="K117" s="13"/>
    </row>
    <row r="118" spans="1:11">
      <c r="A118" s="14"/>
      <c r="B118" s="13"/>
      <c r="D118" s="13"/>
      <c r="F118" s="13"/>
      <c r="G118" s="13"/>
      <c r="I118" s="13"/>
      <c r="K118" s="13"/>
    </row>
    <row r="119" spans="1:11">
      <c r="A119" s="14"/>
      <c r="B119" s="13"/>
      <c r="D119" s="13"/>
      <c r="F119" s="13"/>
      <c r="G119" s="13"/>
      <c r="I119" s="13"/>
      <c r="K119" s="13"/>
    </row>
    <row r="120" spans="1:11">
      <c r="A120" s="14"/>
      <c r="B120" s="13"/>
      <c r="D120" s="13"/>
      <c r="F120" s="13"/>
      <c r="G120" s="13"/>
      <c r="I120" s="13"/>
      <c r="K120" s="13"/>
    </row>
    <row r="121" spans="1:11">
      <c r="A121" s="14"/>
      <c r="B121" s="13"/>
      <c r="D121" s="13"/>
      <c r="F121" s="13"/>
      <c r="G121" s="13"/>
      <c r="I121" s="13"/>
      <c r="K121" s="13"/>
    </row>
    <row r="122" spans="1:11">
      <c r="A122" s="14"/>
      <c r="B122" s="13"/>
      <c r="D122" s="13"/>
      <c r="F122" s="13"/>
      <c r="G122" s="13"/>
      <c r="I122" s="13"/>
      <c r="K122" s="13"/>
    </row>
    <row r="123" spans="1:11">
      <c r="A123" s="12"/>
      <c r="B123" s="13"/>
      <c r="D123" s="13"/>
      <c r="F123" s="13"/>
      <c r="G123" s="13"/>
      <c r="I123" s="13"/>
      <c r="K123" s="13"/>
    </row>
    <row r="124" spans="1:11">
      <c r="A124" s="12"/>
      <c r="B124" s="13"/>
      <c r="D124" s="13"/>
      <c r="F124" s="13"/>
      <c r="G124" s="13"/>
      <c r="I124" s="13"/>
      <c r="K124" s="13"/>
    </row>
    <row r="125" spans="1:11">
      <c r="A125" s="12"/>
      <c r="B125" s="13"/>
      <c r="D125" s="13"/>
      <c r="F125" s="13"/>
      <c r="G125" s="13"/>
      <c r="I125" s="13"/>
      <c r="K125" s="13"/>
    </row>
    <row r="126" spans="1:11">
      <c r="A126" s="12"/>
      <c r="B126" s="13"/>
      <c r="D126" s="13"/>
      <c r="F126" s="13"/>
      <c r="G126" s="13"/>
      <c r="I126" s="13"/>
      <c r="K126" s="13"/>
    </row>
    <row r="127" spans="1:11">
      <c r="A127" s="12"/>
      <c r="B127" s="13"/>
      <c r="D127" s="13"/>
      <c r="F127" s="13"/>
      <c r="G127" s="13"/>
      <c r="I127" s="13"/>
      <c r="K127" s="13"/>
    </row>
    <row r="128" spans="1:11">
      <c r="A128" s="12"/>
      <c r="B128" s="13"/>
      <c r="D128" s="13"/>
      <c r="F128" s="13"/>
      <c r="G128" s="13"/>
      <c r="I128" s="13"/>
      <c r="K128" s="13"/>
    </row>
    <row r="129" spans="1:11">
      <c r="A129" s="12"/>
      <c r="B129" s="13"/>
      <c r="D129" s="13"/>
      <c r="F129" s="13"/>
      <c r="G129" s="13"/>
      <c r="I129" s="13"/>
      <c r="K129" s="13"/>
    </row>
    <row r="130" spans="1:11">
      <c r="A130" s="14"/>
      <c r="B130" s="13"/>
      <c r="D130" s="13"/>
      <c r="F130" s="13"/>
      <c r="G130" s="13"/>
      <c r="I130" s="13"/>
      <c r="K130" s="13"/>
    </row>
    <row r="131" spans="1:11">
      <c r="A131" s="14"/>
      <c r="B131" s="13"/>
      <c r="D131" s="13"/>
      <c r="F131" s="13"/>
      <c r="G131" s="13"/>
      <c r="I131" s="13"/>
      <c r="K131" s="13"/>
    </row>
  </sheetData>
  <mergeCells count="24">
    <mergeCell ref="B4:F4"/>
    <mergeCell ref="G4:K4"/>
    <mergeCell ref="A4:A5"/>
    <mergeCell ref="A10:A11"/>
    <mergeCell ref="A12:A13"/>
    <mergeCell ref="A14:A15"/>
    <mergeCell ref="A16:A17"/>
    <mergeCell ref="A6:A7"/>
    <mergeCell ref="A8:A9"/>
    <mergeCell ref="A34:A35"/>
    <mergeCell ref="A20:A21"/>
    <mergeCell ref="A22:A23"/>
    <mergeCell ref="A24:A25"/>
    <mergeCell ref="A26:A27"/>
    <mergeCell ref="A18:A19"/>
    <mergeCell ref="A30:A31"/>
    <mergeCell ref="A32:A33"/>
    <mergeCell ref="A28:A29"/>
    <mergeCell ref="A44:A45"/>
    <mergeCell ref="A46:A47"/>
    <mergeCell ref="A36:A37"/>
    <mergeCell ref="A38:A39"/>
    <mergeCell ref="A40:A41"/>
    <mergeCell ref="A42:A43"/>
  </mergeCells>
  <phoneticPr fontId="2"/>
  <printOptions horizontalCentered="1"/>
  <pageMargins left="0.39370078740157483" right="0.39370078740157483" top="0.78740157480314965" bottom="0.59055118110236227" header="0.51181102362204722" footer="0.39370078740157483"/>
  <pageSetup paperSize="9" scale="80" orientation="landscape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B9F7A-AAAC-4229-A58C-63DE1D4D7A6A}">
  <sheetPr codeName="Sheet16">
    <pageSetUpPr fitToPage="1"/>
  </sheetPr>
  <dimension ref="A1:K95"/>
  <sheetViews>
    <sheetView showGridLines="0" zoomScaleNormal="100" workbookViewId="0"/>
  </sheetViews>
  <sheetFormatPr defaultColWidth="10.296875" defaultRowHeight="11"/>
  <cols>
    <col min="1" max="1" width="27" style="1" customWidth="1"/>
    <col min="2" max="2" width="17.8984375" style="1" customWidth="1"/>
    <col min="3" max="3" width="8.69921875" style="1" customWidth="1"/>
    <col min="4" max="4" width="17.8984375" style="1" customWidth="1"/>
    <col min="5" max="5" width="8.69921875" style="1" customWidth="1"/>
    <col min="6" max="6" width="17.8984375" style="1" customWidth="1"/>
    <col min="7" max="7" width="8.69921875" style="1" customWidth="1"/>
    <col min="8" max="8" width="17.8984375" style="1" customWidth="1"/>
    <col min="9" max="9" width="8.69921875" style="1" customWidth="1"/>
    <col min="10" max="10" width="17.8984375" style="1" customWidth="1"/>
    <col min="11" max="11" width="8.69921875" style="1" customWidth="1"/>
    <col min="12" max="16384" width="10.296875" style="1"/>
  </cols>
  <sheetData>
    <row r="1" spans="1:11" ht="19">
      <c r="D1" s="2" t="s">
        <v>46</v>
      </c>
    </row>
    <row r="3" spans="1:11" ht="11.5" thickBot="1">
      <c r="K3" s="3" t="s">
        <v>13</v>
      </c>
    </row>
    <row r="4" spans="1:11" ht="12" customHeight="1" thickBot="1">
      <c r="A4" s="71" t="s">
        <v>2</v>
      </c>
      <c r="B4" s="62">
        <v>1999</v>
      </c>
      <c r="C4" s="62"/>
      <c r="D4" s="62">
        <v>2000</v>
      </c>
      <c r="E4" s="63"/>
      <c r="F4" s="62">
        <v>2001</v>
      </c>
      <c r="G4" s="63"/>
      <c r="H4" s="62">
        <v>2002</v>
      </c>
      <c r="I4" s="63"/>
      <c r="J4" s="62">
        <v>2003</v>
      </c>
      <c r="K4" s="63"/>
    </row>
    <row r="5" spans="1:11" ht="25" customHeight="1" thickBot="1">
      <c r="A5" s="72"/>
      <c r="B5" s="15"/>
      <c r="C5" s="16" t="s">
        <v>47</v>
      </c>
      <c r="D5" s="15"/>
      <c r="E5" s="16" t="s">
        <v>47</v>
      </c>
      <c r="F5" s="15"/>
      <c r="G5" s="16" t="s">
        <v>47</v>
      </c>
      <c r="H5" s="15"/>
      <c r="I5" s="16" t="s">
        <v>47</v>
      </c>
      <c r="J5" s="15"/>
      <c r="K5" s="16" t="s">
        <v>47</v>
      </c>
    </row>
    <row r="6" spans="1:11" ht="12" customHeight="1">
      <c r="A6" s="64" t="s">
        <v>41</v>
      </c>
      <c r="B6" s="33"/>
      <c r="C6" s="34"/>
      <c r="D6" s="33"/>
      <c r="E6" s="34"/>
      <c r="F6" s="33"/>
      <c r="G6" s="34"/>
      <c r="H6" s="33"/>
      <c r="I6" s="34"/>
      <c r="J6" s="33"/>
      <c r="K6" s="34"/>
    </row>
    <row r="7" spans="1:11" ht="12" customHeight="1">
      <c r="A7" s="64"/>
      <c r="B7" s="35">
        <v>21677.599999999999</v>
      </c>
      <c r="C7" s="36">
        <f>IF(B7="", "", IF(B7&lt;=0, "*", 100))</f>
        <v>100</v>
      </c>
      <c r="D7" s="35">
        <v>84173.440000000002</v>
      </c>
      <c r="E7" s="36">
        <f>IF(D7="", "", IF(D7&lt;=0, "*", 100))</f>
        <v>100</v>
      </c>
      <c r="F7" s="35">
        <v>-4656.34</v>
      </c>
      <c r="G7" s="36" t="str">
        <f>IF(F7="", "", IF(F7&lt;=0, "*", 100))</f>
        <v>*</v>
      </c>
      <c r="H7" s="35">
        <v>62230.18</v>
      </c>
      <c r="I7" s="36">
        <f>IF(H7="", "", IF(H7&lt;=0, "*", 100))</f>
        <v>100</v>
      </c>
      <c r="J7" s="35">
        <v>131601.46</v>
      </c>
      <c r="K7" s="36">
        <f>IF(J7="", "", IF(J7&lt;=0, "*", 100))</f>
        <v>100</v>
      </c>
    </row>
    <row r="8" spans="1:11" ht="12" customHeight="1">
      <c r="A8" s="64" t="s">
        <v>42</v>
      </c>
      <c r="B8" s="35"/>
      <c r="C8" s="34"/>
      <c r="D8" s="35"/>
      <c r="E8" s="34"/>
      <c r="F8" s="35"/>
      <c r="G8" s="34"/>
      <c r="H8" s="35"/>
      <c r="I8" s="34"/>
      <c r="J8" s="35"/>
      <c r="K8" s="34"/>
    </row>
    <row r="9" spans="1:11" ht="12" customHeight="1">
      <c r="A9" s="64"/>
      <c r="B9" s="35">
        <v>6274.25</v>
      </c>
      <c r="C9" s="36">
        <f>IF(B7="","", IF(B7&lt;=0,"*",B9*100/B7))</f>
        <v>28.943471602022367</v>
      </c>
      <c r="D9" s="35">
        <v>8063.91</v>
      </c>
      <c r="E9" s="36">
        <v>11</v>
      </c>
      <c r="F9" s="35">
        <v>5650.25</v>
      </c>
      <c r="G9" s="36" t="str">
        <f>IF(F7="","", IF(F7&lt;=0,"*",F9*100/F7))</f>
        <v>*</v>
      </c>
      <c r="H9" s="35">
        <v>8966.69</v>
      </c>
      <c r="I9" s="36">
        <f>IF(H7="","", IF(H7&lt;=0,"*",H9*100/H7))</f>
        <v>14.408908989175348</v>
      </c>
      <c r="J9" s="35">
        <v>9676.8799999999992</v>
      </c>
      <c r="K9" s="36">
        <f>IF(J7="","", IF(J7&lt;=0,"*",J9*100/J7))</f>
        <v>7.3531707019055865</v>
      </c>
    </row>
    <row r="10" spans="1:11" ht="12" customHeight="1">
      <c r="A10" s="64" t="s">
        <v>43</v>
      </c>
      <c r="B10" s="35"/>
      <c r="C10" s="34"/>
      <c r="D10" s="35"/>
      <c r="E10" s="34"/>
      <c r="F10" s="35"/>
      <c r="G10" s="34"/>
      <c r="H10" s="35"/>
      <c r="I10" s="34"/>
      <c r="J10" s="35"/>
      <c r="K10" s="34"/>
    </row>
    <row r="11" spans="1:11" ht="12" customHeight="1">
      <c r="A11" s="64"/>
      <c r="B11" s="35">
        <v>42205.53</v>
      </c>
      <c r="C11" s="36">
        <f>IF(B7="","", IF(B7&lt;=0,"*",B11*100/B7))</f>
        <v>194.69650699339411</v>
      </c>
      <c r="D11" s="35">
        <v>48316.39</v>
      </c>
      <c r="E11" s="36">
        <v>61.7</v>
      </c>
      <c r="F11" s="35">
        <v>44955.87</v>
      </c>
      <c r="G11" s="36" t="str">
        <f>IF(F7="","", IF(F7&lt;=0,"*",F11*100/F7))</f>
        <v>*</v>
      </c>
      <c r="H11" s="35">
        <v>65093.59</v>
      </c>
      <c r="I11" s="36">
        <f>IF(H7="","", IF(H7&lt;=0,"*",H11*100/H7))</f>
        <v>104.60132045255212</v>
      </c>
      <c r="J11" s="35">
        <v>72334.87</v>
      </c>
      <c r="K11" s="36">
        <f>IF(J7="","", IF(J7&lt;=0,"*",J11*100/J7))</f>
        <v>54.96509689178221</v>
      </c>
    </row>
    <row r="12" spans="1:11" ht="12" customHeight="1">
      <c r="A12" s="64" t="s">
        <v>44</v>
      </c>
      <c r="B12" s="35"/>
      <c r="C12" s="34"/>
      <c r="D12" s="35"/>
      <c r="E12" s="34"/>
      <c r="F12" s="35"/>
      <c r="G12" s="34"/>
      <c r="H12" s="35"/>
      <c r="I12" s="34"/>
      <c r="J12" s="35"/>
      <c r="K12" s="34"/>
    </row>
    <row r="13" spans="1:11" ht="12" customHeight="1" thickBot="1">
      <c r="A13" s="65"/>
      <c r="B13" s="37">
        <v>-26802.18</v>
      </c>
      <c r="C13" s="27">
        <f>IF(B7="","", IF(B7&lt;=0,"*",B13*100/B7))</f>
        <v>-123.63997859541648</v>
      </c>
      <c r="D13" s="37">
        <v>27793.14</v>
      </c>
      <c r="E13" s="27">
        <v>27.3</v>
      </c>
      <c r="F13" s="37">
        <v>-55262.46</v>
      </c>
      <c r="G13" s="27" t="str">
        <f>IF(F7="","", IF(F7&lt;=0,"*",F13*100/F7))</f>
        <v>*</v>
      </c>
      <c r="H13" s="37">
        <v>-11830.1</v>
      </c>
      <c r="I13" s="38">
        <f>IF(H7="","", IF(H7&lt;=0,"*",H13*100/H7))</f>
        <v>-19.010229441727471</v>
      </c>
      <c r="J13" s="37">
        <v>49589.71</v>
      </c>
      <c r="K13" s="27">
        <f>IF(J7="","", IF(J7&lt;=0,"*",J13*100/J7))</f>
        <v>37.681732406312214</v>
      </c>
    </row>
    <row r="14" spans="1:11" ht="8.25" customHeight="1">
      <c r="A14" s="12"/>
      <c r="C14" s="14"/>
      <c r="D14" s="13"/>
      <c r="E14" s="14"/>
      <c r="F14" s="13"/>
      <c r="G14" s="14"/>
      <c r="H14" s="13"/>
      <c r="I14" s="14"/>
      <c r="J14" s="13"/>
      <c r="K14" s="14"/>
    </row>
    <row r="15" spans="1:11" ht="11.9" customHeight="1">
      <c r="A15" s="28" t="s">
        <v>45</v>
      </c>
      <c r="B15" s="13"/>
      <c r="C15" s="14"/>
      <c r="D15" s="13"/>
      <c r="E15" s="14"/>
      <c r="F15" s="13"/>
      <c r="G15" s="14"/>
      <c r="H15" s="13"/>
      <c r="I15" s="14"/>
      <c r="J15" s="13"/>
      <c r="K15" s="14"/>
    </row>
    <row r="16" spans="1:11" ht="11.9" customHeight="1">
      <c r="A16" s="12"/>
      <c r="B16" s="13"/>
      <c r="C16" s="14"/>
      <c r="D16" s="13"/>
      <c r="E16" s="14"/>
      <c r="F16" s="13"/>
      <c r="G16" s="14"/>
      <c r="H16" s="13"/>
      <c r="I16" s="14"/>
      <c r="J16" s="13"/>
      <c r="K16" s="14"/>
    </row>
    <row r="17" spans="1:11" ht="11.9" customHeight="1">
      <c r="A17" s="12"/>
      <c r="B17" s="13"/>
      <c r="C17" s="14"/>
      <c r="D17" s="13"/>
      <c r="E17" s="14"/>
      <c r="F17" s="13"/>
      <c r="G17" s="14"/>
      <c r="H17" s="13"/>
      <c r="I17" s="14"/>
      <c r="J17" s="13"/>
      <c r="K17" s="14"/>
    </row>
    <row r="18" spans="1:11" ht="11.9" customHeight="1">
      <c r="A18" s="12"/>
      <c r="B18" s="13"/>
      <c r="C18" s="14"/>
      <c r="D18" s="13"/>
      <c r="E18" s="14"/>
      <c r="F18" s="13"/>
      <c r="G18" s="14"/>
      <c r="H18" s="13"/>
      <c r="I18" s="14"/>
      <c r="J18" s="13"/>
      <c r="K18" s="14"/>
    </row>
    <row r="19" spans="1:11" ht="11.9" customHeight="1">
      <c r="A19" s="12"/>
      <c r="B19" s="13"/>
      <c r="C19" s="14"/>
      <c r="D19" s="13"/>
      <c r="E19" s="14"/>
      <c r="F19" s="13"/>
      <c r="G19" s="14"/>
      <c r="H19" s="13"/>
      <c r="I19" s="14"/>
      <c r="J19" s="13"/>
      <c r="K19" s="14"/>
    </row>
    <row r="20" spans="1:11" ht="11.9" customHeight="1">
      <c r="A20" s="12"/>
      <c r="B20" s="13"/>
      <c r="C20" s="14"/>
      <c r="D20" s="13"/>
      <c r="E20" s="14"/>
      <c r="F20" s="13"/>
      <c r="G20" s="14"/>
      <c r="H20" s="13"/>
      <c r="I20" s="14"/>
      <c r="J20" s="13"/>
      <c r="K20" s="14"/>
    </row>
    <row r="21" spans="1:11" ht="11.9" customHeight="1">
      <c r="A21" s="12"/>
      <c r="B21" s="13"/>
      <c r="C21" s="14"/>
      <c r="D21" s="13"/>
      <c r="E21" s="14"/>
      <c r="F21" s="13"/>
      <c r="G21" s="14"/>
      <c r="H21" s="13"/>
      <c r="I21" s="14"/>
      <c r="J21" s="13"/>
      <c r="K21" s="14"/>
    </row>
    <row r="22" spans="1:11" ht="11.9" customHeight="1">
      <c r="A22" s="12"/>
      <c r="B22" s="13"/>
      <c r="C22" s="14"/>
      <c r="D22" s="13"/>
      <c r="E22" s="14"/>
      <c r="F22" s="13"/>
      <c r="G22" s="14"/>
      <c r="H22" s="13"/>
      <c r="I22" s="14"/>
      <c r="J22" s="13"/>
      <c r="K22" s="14"/>
    </row>
    <row r="23" spans="1:11" ht="11.9" customHeight="1">
      <c r="A23" s="12"/>
      <c r="B23" s="13"/>
      <c r="C23" s="14"/>
      <c r="D23" s="13"/>
      <c r="E23" s="14"/>
      <c r="F23" s="13"/>
      <c r="G23" s="14"/>
      <c r="H23" s="13"/>
      <c r="I23" s="14"/>
      <c r="J23" s="13"/>
      <c r="K23" s="14"/>
    </row>
    <row r="24" spans="1:11" ht="11.9" customHeight="1">
      <c r="A24" s="12"/>
      <c r="B24" s="13"/>
      <c r="C24" s="14"/>
      <c r="D24" s="13"/>
      <c r="E24" s="14"/>
      <c r="F24" s="13"/>
      <c r="G24" s="14"/>
      <c r="H24" s="13"/>
      <c r="I24" s="14"/>
      <c r="J24" s="13"/>
      <c r="K24" s="14"/>
    </row>
    <row r="25" spans="1:11" ht="11.9" customHeight="1">
      <c r="A25" s="12"/>
      <c r="B25" s="13"/>
      <c r="C25" s="14"/>
      <c r="D25" s="13"/>
      <c r="E25" s="14"/>
      <c r="F25" s="13"/>
      <c r="G25" s="14"/>
      <c r="H25" s="13"/>
      <c r="I25" s="14"/>
      <c r="J25" s="13"/>
      <c r="K25" s="14"/>
    </row>
    <row r="26" spans="1:11" ht="11.9" customHeight="1">
      <c r="A26" s="12"/>
      <c r="B26" s="13"/>
      <c r="C26" s="14"/>
      <c r="D26" s="13"/>
      <c r="E26" s="14"/>
      <c r="F26" s="13"/>
      <c r="G26" s="14"/>
      <c r="H26" s="13"/>
      <c r="I26" s="14"/>
      <c r="J26" s="13"/>
      <c r="K26" s="14"/>
    </row>
    <row r="27" spans="1:11" ht="11.9" customHeight="1">
      <c r="A27" s="12"/>
      <c r="B27" s="13"/>
      <c r="C27" s="14"/>
      <c r="D27" s="13"/>
      <c r="E27" s="14"/>
      <c r="F27" s="13"/>
      <c r="G27" s="14"/>
      <c r="H27" s="13"/>
      <c r="I27" s="14"/>
      <c r="J27" s="13"/>
      <c r="K27" s="14"/>
    </row>
    <row r="28" spans="1:11" ht="11.9" customHeight="1">
      <c r="A28" s="12"/>
      <c r="B28" s="13"/>
      <c r="C28" s="14"/>
      <c r="D28" s="13"/>
      <c r="E28" s="14"/>
      <c r="F28" s="13"/>
      <c r="G28" s="14"/>
      <c r="H28" s="13"/>
      <c r="I28" s="14"/>
      <c r="J28" s="13"/>
      <c r="K28" s="14"/>
    </row>
    <row r="29" spans="1:11" ht="11.9" customHeight="1">
      <c r="A29" s="12"/>
      <c r="B29" s="13"/>
      <c r="C29" s="14"/>
      <c r="D29" s="13"/>
      <c r="E29" s="14"/>
      <c r="F29" s="13"/>
      <c r="G29" s="14"/>
      <c r="H29" s="13"/>
      <c r="I29" s="14"/>
      <c r="J29" s="13"/>
      <c r="K29" s="14"/>
    </row>
    <row r="30" spans="1:11" ht="11.9" customHeight="1">
      <c r="A30" s="12"/>
      <c r="B30" s="13"/>
      <c r="C30" s="14"/>
      <c r="D30" s="13"/>
      <c r="E30" s="14"/>
      <c r="F30" s="13"/>
      <c r="G30" s="14"/>
      <c r="H30" s="13"/>
      <c r="I30" s="14"/>
      <c r="J30" s="13"/>
      <c r="K30" s="14"/>
    </row>
    <row r="31" spans="1:11" ht="11.9" customHeight="1">
      <c r="A31" s="12"/>
      <c r="B31" s="13"/>
      <c r="C31" s="14"/>
      <c r="D31" s="13"/>
      <c r="E31" s="14"/>
      <c r="F31" s="13"/>
      <c r="G31" s="14"/>
      <c r="H31" s="13"/>
      <c r="I31" s="14"/>
      <c r="J31" s="13"/>
      <c r="K31" s="14"/>
    </row>
    <row r="32" spans="1:11" ht="11.9" customHeight="1">
      <c r="A32" s="12"/>
      <c r="B32" s="13"/>
      <c r="C32" s="14"/>
      <c r="D32" s="13"/>
      <c r="E32" s="14"/>
      <c r="F32" s="13"/>
      <c r="G32" s="14"/>
      <c r="H32" s="13"/>
      <c r="I32" s="14"/>
      <c r="J32" s="13"/>
      <c r="K32" s="14"/>
    </row>
    <row r="33" spans="1:11" ht="11.9" customHeight="1">
      <c r="A33" s="12"/>
      <c r="B33" s="13"/>
      <c r="C33" s="14"/>
      <c r="D33" s="13"/>
      <c r="E33" s="14"/>
      <c r="F33" s="13"/>
      <c r="G33" s="14"/>
      <c r="H33" s="13"/>
      <c r="I33" s="14"/>
      <c r="J33" s="13"/>
      <c r="K33" s="14"/>
    </row>
    <row r="34" spans="1:11" ht="11.9" customHeight="1">
      <c r="A34" s="12"/>
      <c r="B34" s="13"/>
      <c r="C34" s="14"/>
      <c r="D34" s="13"/>
      <c r="E34" s="14"/>
      <c r="F34" s="13"/>
      <c r="G34" s="14"/>
      <c r="H34" s="13"/>
      <c r="I34" s="14"/>
      <c r="J34" s="13"/>
      <c r="K34" s="14"/>
    </row>
    <row r="35" spans="1:11" ht="11.9" customHeight="1">
      <c r="A35" s="12"/>
      <c r="B35" s="13"/>
      <c r="C35" s="14"/>
      <c r="D35" s="13"/>
      <c r="E35" s="14"/>
      <c r="F35" s="13"/>
      <c r="G35" s="14"/>
      <c r="H35" s="13"/>
      <c r="I35" s="14"/>
      <c r="J35" s="13"/>
      <c r="K35" s="14"/>
    </row>
    <row r="36" spans="1:11" ht="11.9" customHeight="1">
      <c r="A36" s="12"/>
      <c r="B36" s="13"/>
      <c r="C36" s="14"/>
      <c r="D36" s="13"/>
      <c r="E36" s="14"/>
      <c r="F36" s="13"/>
      <c r="G36" s="14"/>
      <c r="H36" s="13"/>
      <c r="I36" s="14"/>
      <c r="J36" s="13"/>
      <c r="K36" s="14"/>
    </row>
    <row r="37" spans="1:11" ht="11.9" customHeight="1"/>
    <row r="38" spans="1:11" ht="11.9" customHeight="1"/>
    <row r="39" spans="1:11" ht="11.9" customHeight="1"/>
    <row r="40" spans="1:11" ht="11.9" customHeight="1"/>
    <row r="41" spans="1:11" ht="11.9" customHeight="1"/>
    <row r="42" spans="1:11" ht="11.9" customHeight="1"/>
    <row r="43" spans="1:11" ht="11.9" customHeight="1"/>
    <row r="44" spans="1:11" ht="11.9" customHeight="1"/>
    <row r="45" spans="1:11" ht="11.9" customHeight="1"/>
    <row r="46" spans="1:11" ht="11.9" customHeight="1"/>
    <row r="47" spans="1:11" ht="11.9" customHeight="1"/>
    <row r="48" spans="1:11" ht="11.9" customHeight="1"/>
    <row r="49" ht="11.9" customHeight="1"/>
    <row r="50" ht="11.9" customHeight="1"/>
    <row r="51" ht="11.9" customHeight="1"/>
    <row r="52" ht="11.9" customHeight="1"/>
    <row r="53" ht="11.9" customHeight="1"/>
    <row r="54" ht="11.9" customHeight="1"/>
    <row r="55" ht="11.9" customHeight="1"/>
    <row r="56" ht="11.9" customHeight="1"/>
    <row r="57" ht="11.9" customHeight="1"/>
    <row r="58" ht="11.9" customHeight="1"/>
    <row r="59" ht="11.9" customHeight="1"/>
    <row r="60" ht="11.9" customHeight="1"/>
    <row r="61" ht="11.9" customHeight="1"/>
    <row r="62" ht="11.9" customHeight="1"/>
    <row r="63" ht="11.9" customHeight="1"/>
    <row r="64" ht="11.9" customHeight="1"/>
    <row r="79" spans="1:10">
      <c r="A79" s="10"/>
      <c r="B79" s="11"/>
      <c r="D79" s="11"/>
      <c r="F79" s="11"/>
      <c r="H79" s="11"/>
      <c r="J79" s="11"/>
    </row>
    <row r="80" spans="1:10">
      <c r="A80" s="12"/>
      <c r="B80" s="13"/>
      <c r="D80" s="13"/>
      <c r="F80" s="13"/>
      <c r="H80" s="13"/>
      <c r="J80" s="13"/>
    </row>
    <row r="81" spans="1:10">
      <c r="A81" s="14"/>
      <c r="B81" s="13"/>
      <c r="D81" s="13"/>
      <c r="F81" s="13"/>
      <c r="H81" s="13"/>
      <c r="J81" s="13"/>
    </row>
    <row r="82" spans="1:10">
      <c r="A82" s="14"/>
      <c r="B82" s="13"/>
      <c r="D82" s="13"/>
      <c r="F82" s="13"/>
      <c r="H82" s="13"/>
      <c r="J82" s="13"/>
    </row>
    <row r="83" spans="1:10">
      <c r="A83" s="14"/>
      <c r="B83" s="13"/>
      <c r="D83" s="13"/>
      <c r="F83" s="13"/>
      <c r="H83" s="13"/>
      <c r="J83" s="13"/>
    </row>
    <row r="84" spans="1:10">
      <c r="A84" s="14"/>
      <c r="B84" s="13"/>
      <c r="D84" s="13"/>
      <c r="F84" s="13"/>
      <c r="H84" s="13"/>
      <c r="J84" s="13"/>
    </row>
    <row r="85" spans="1:10">
      <c r="A85" s="14"/>
      <c r="B85" s="13"/>
      <c r="D85" s="13"/>
      <c r="F85" s="13"/>
      <c r="H85" s="13"/>
      <c r="J85" s="13"/>
    </row>
    <row r="86" spans="1:10">
      <c r="A86" s="14"/>
      <c r="B86" s="13"/>
      <c r="D86" s="13"/>
      <c r="F86" s="13"/>
      <c r="H86" s="13"/>
      <c r="J86" s="13"/>
    </row>
    <row r="87" spans="1:10">
      <c r="A87" s="12"/>
      <c r="B87" s="13"/>
      <c r="D87" s="13"/>
      <c r="F87" s="13"/>
      <c r="H87" s="13"/>
      <c r="J87" s="13"/>
    </row>
    <row r="88" spans="1:10">
      <c r="A88" s="12"/>
      <c r="B88" s="13"/>
      <c r="D88" s="13"/>
      <c r="F88" s="13"/>
      <c r="H88" s="13"/>
      <c r="J88" s="13"/>
    </row>
    <row r="89" spans="1:10">
      <c r="A89" s="12"/>
      <c r="B89" s="13"/>
      <c r="D89" s="13"/>
      <c r="F89" s="13"/>
      <c r="H89" s="13"/>
      <c r="J89" s="13"/>
    </row>
    <row r="90" spans="1:10">
      <c r="A90" s="12"/>
      <c r="B90" s="13"/>
      <c r="D90" s="13"/>
      <c r="F90" s="13"/>
      <c r="H90" s="13"/>
      <c r="J90" s="13"/>
    </row>
    <row r="91" spans="1:10">
      <c r="A91" s="12"/>
      <c r="B91" s="13"/>
      <c r="D91" s="13"/>
      <c r="F91" s="13"/>
      <c r="H91" s="13"/>
      <c r="J91" s="13"/>
    </row>
    <row r="92" spans="1:10">
      <c r="A92" s="12"/>
      <c r="B92" s="13"/>
      <c r="D92" s="13"/>
      <c r="F92" s="13"/>
      <c r="H92" s="13"/>
      <c r="J92" s="13"/>
    </row>
    <row r="93" spans="1:10">
      <c r="A93" s="12"/>
      <c r="B93" s="13"/>
      <c r="D93" s="13"/>
      <c r="F93" s="13"/>
      <c r="H93" s="13"/>
      <c r="J93" s="13"/>
    </row>
    <row r="94" spans="1:10">
      <c r="A94" s="14"/>
      <c r="B94" s="13"/>
      <c r="D94" s="13"/>
      <c r="F94" s="13"/>
      <c r="H94" s="13"/>
      <c r="J94" s="13"/>
    </row>
    <row r="95" spans="1:10">
      <c r="A95" s="14"/>
      <c r="B95" s="13"/>
      <c r="D95" s="13"/>
      <c r="F95" s="13"/>
      <c r="H95" s="13"/>
      <c r="J95" s="13"/>
    </row>
  </sheetData>
  <mergeCells count="10">
    <mergeCell ref="A12:A13"/>
    <mergeCell ref="A10:A11"/>
    <mergeCell ref="J4:K4"/>
    <mergeCell ref="D4:E4"/>
    <mergeCell ref="F4:G4"/>
    <mergeCell ref="B4:C4"/>
    <mergeCell ref="H4:I4"/>
    <mergeCell ref="A6:A7"/>
    <mergeCell ref="A8:A9"/>
    <mergeCell ref="A4:A5"/>
  </mergeCells>
  <phoneticPr fontId="2"/>
  <printOptions horizontalCentered="1"/>
  <pageMargins left="0.39370078740157483" right="0.39370078740157483" top="0.78740157480314965" bottom="0.59055118110236227" header="0.51181102362204722" footer="0.39370078740157483"/>
  <pageSetup paperSize="9" scale="81" orientation="landscape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5F923-8B6F-42E4-AE5F-70551D21C3FE}">
  <sheetPr codeName="Sheet17">
    <pageSetUpPr fitToPage="1"/>
  </sheetPr>
  <dimension ref="A1:K95"/>
  <sheetViews>
    <sheetView showGridLines="0" zoomScaleNormal="100" zoomScaleSheetLayoutView="100" workbookViewId="0"/>
  </sheetViews>
  <sheetFormatPr defaultColWidth="10.296875" defaultRowHeight="11"/>
  <cols>
    <col min="1" max="1" width="35" style="1" customWidth="1"/>
    <col min="2" max="2" width="14.3984375" style="1" customWidth="1"/>
    <col min="3" max="3" width="9.296875" style="1" customWidth="1"/>
    <col min="4" max="4" width="14.3984375" style="1" customWidth="1"/>
    <col min="5" max="5" width="9.296875" style="1" customWidth="1"/>
    <col min="6" max="6" width="14.3984375" style="1" customWidth="1"/>
    <col min="7" max="7" width="9.296875" style="1" customWidth="1"/>
    <col min="8" max="8" width="14.3984375" style="1" customWidth="1"/>
    <col min="9" max="9" width="9.296875" style="1" customWidth="1"/>
    <col min="10" max="10" width="14.3984375" style="1" customWidth="1"/>
    <col min="11" max="11" width="9.296875" style="1" customWidth="1"/>
    <col min="12" max="16384" width="10.296875" style="1"/>
  </cols>
  <sheetData>
    <row r="1" spans="1:11" ht="19">
      <c r="D1" s="2" t="s">
        <v>66</v>
      </c>
    </row>
    <row r="3" spans="1:11" ht="11.5" thickBot="1">
      <c r="K3" s="3" t="s">
        <v>13</v>
      </c>
    </row>
    <row r="4" spans="1:11" ht="12" customHeight="1" thickBot="1">
      <c r="A4" s="67" t="s">
        <v>2</v>
      </c>
      <c r="B4" s="62">
        <v>1999</v>
      </c>
      <c r="C4" s="62"/>
      <c r="D4" s="62">
        <v>2000</v>
      </c>
      <c r="E4" s="63"/>
      <c r="F4" s="62">
        <v>2001</v>
      </c>
      <c r="G4" s="63"/>
      <c r="H4" s="62">
        <v>2002</v>
      </c>
      <c r="I4" s="63"/>
      <c r="J4" s="62">
        <v>2003</v>
      </c>
      <c r="K4" s="63"/>
    </row>
    <row r="5" spans="1:11" ht="25" customHeight="1" thickBot="1">
      <c r="A5" s="68"/>
      <c r="B5" s="15"/>
      <c r="C5" s="16" t="s">
        <v>47</v>
      </c>
      <c r="D5" s="15"/>
      <c r="E5" s="16" t="s">
        <v>47</v>
      </c>
      <c r="F5" s="15"/>
      <c r="G5" s="16" t="s">
        <v>47</v>
      </c>
      <c r="H5" s="15"/>
      <c r="I5" s="16" t="s">
        <v>47</v>
      </c>
      <c r="J5" s="15"/>
      <c r="K5" s="16" t="s">
        <v>47</v>
      </c>
    </row>
    <row r="6" spans="1:11" ht="12" customHeight="1">
      <c r="A6" s="66" t="s">
        <v>48</v>
      </c>
      <c r="B6" s="39"/>
      <c r="C6" s="25"/>
      <c r="D6" s="39"/>
      <c r="E6" s="25"/>
      <c r="F6" s="39"/>
      <c r="G6" s="25"/>
      <c r="H6" s="39"/>
      <c r="I6" s="25"/>
      <c r="J6" s="39"/>
      <c r="K6" s="25"/>
    </row>
    <row r="7" spans="1:11" ht="12" customHeight="1">
      <c r="A7" s="64"/>
      <c r="B7" s="35">
        <v>2675468.9500000002</v>
      </c>
      <c r="C7" s="36">
        <f>IF(B7="", "", IF(B7&lt;=0, "*", 100))</f>
        <v>100</v>
      </c>
      <c r="D7" s="35">
        <v>2766294</v>
      </c>
      <c r="E7" s="36">
        <f>IF(D7="", "", IF(D7&lt;=0, "*", 100))</f>
        <v>100</v>
      </c>
      <c r="F7" s="35">
        <v>2568917.3199999998</v>
      </c>
      <c r="G7" s="36">
        <f>IF(F7="", "", IF(F7&lt;=0, "*", 100))</f>
        <v>100</v>
      </c>
      <c r="H7" s="35">
        <v>2578690.96</v>
      </c>
      <c r="I7" s="36">
        <f>IF(H7="", "", IF(H7&lt;=0, "*", 100))</f>
        <v>100</v>
      </c>
      <c r="J7" s="35">
        <v>2574610.75</v>
      </c>
      <c r="K7" s="36">
        <f>IF(J7="", "", IF(J7&lt;=0, "*", 100))</f>
        <v>100</v>
      </c>
    </row>
    <row r="8" spans="1:11" ht="12" customHeight="1">
      <c r="A8" s="64" t="s">
        <v>49</v>
      </c>
      <c r="B8" s="35"/>
      <c r="C8" s="26"/>
      <c r="D8" s="35"/>
      <c r="E8" s="26"/>
      <c r="F8" s="35"/>
      <c r="G8" s="26"/>
      <c r="H8" s="35"/>
      <c r="I8" s="26"/>
      <c r="J8" s="35"/>
      <c r="K8" s="26"/>
    </row>
    <row r="9" spans="1:11" ht="12" customHeight="1">
      <c r="A9" s="64"/>
      <c r="B9" s="35">
        <v>2019617.47</v>
      </c>
      <c r="C9" s="36">
        <f>IF(B7="","", IF(B7&lt;=0,"*",B9*100/B7))</f>
        <v>75.486485088903748</v>
      </c>
      <c r="D9" s="35">
        <v>2025372.67</v>
      </c>
      <c r="E9" s="36">
        <f>IF(D7="","", IF(D7&lt;=0,"*",D9*100/D7))</f>
        <v>73.216103205226915</v>
      </c>
      <c r="F9" s="35">
        <v>1928607.24</v>
      </c>
      <c r="G9" s="36">
        <f>IF(F7="","", IF(F7&lt;=0,"*",F9*100/F7))</f>
        <v>75.074710462071238</v>
      </c>
      <c r="H9" s="35">
        <v>1899188.88</v>
      </c>
      <c r="I9" s="36">
        <f>IF(H7="","", IF(H7&lt;=0,"*",H9*100/H7))</f>
        <v>73.64934028387799</v>
      </c>
      <c r="J9" s="35">
        <v>1843032.44</v>
      </c>
      <c r="K9" s="36">
        <f>IF(J7="","", IF(J7&lt;=0,"*",J9*100/J7))</f>
        <v>71.584896474156338</v>
      </c>
    </row>
    <row r="10" spans="1:11" ht="12" customHeight="1">
      <c r="A10" s="40"/>
      <c r="B10" s="35"/>
      <c r="C10" s="26"/>
      <c r="D10" s="35"/>
      <c r="E10" s="26"/>
      <c r="F10" s="35"/>
      <c r="G10" s="26"/>
      <c r="H10" s="35"/>
      <c r="I10" s="26"/>
      <c r="J10" s="35"/>
      <c r="K10" s="26"/>
    </row>
    <row r="11" spans="1:11" ht="12" customHeight="1">
      <c r="A11" s="40" t="s">
        <v>50</v>
      </c>
      <c r="B11" s="35">
        <v>144426.54999999999</v>
      </c>
      <c r="C11" s="36">
        <f>IF(B7="", "", IF(B7&lt;=0, "*", B11*100/B7))</f>
        <v>5.3981770186493838</v>
      </c>
      <c r="D11" s="35">
        <v>135564.42000000001</v>
      </c>
      <c r="E11" s="36">
        <f>IF(D7="", "", IF(D7&lt;=0, "*", D11*100/D7))</f>
        <v>4.9005788972538715</v>
      </c>
      <c r="F11" s="35">
        <v>116523.93</v>
      </c>
      <c r="G11" s="36">
        <f>IF(F7="", "", IF(F7&lt;=0, "*", F11*100/F7))</f>
        <v>4.5359159320861293</v>
      </c>
      <c r="H11" s="35">
        <v>109118.52</v>
      </c>
      <c r="I11" s="36">
        <f>IF(H7="", "", IF(H7&lt;=0, "*", H11*100/H7))</f>
        <v>4.2315470016616494</v>
      </c>
      <c r="J11" s="35">
        <v>101960.91</v>
      </c>
      <c r="K11" s="36">
        <f>IF(J7="", "", IF(J7&lt;=0, "*", J11*100/J7))</f>
        <v>3.9602456410158311</v>
      </c>
    </row>
    <row r="12" spans="1:11" ht="12" customHeight="1">
      <c r="A12" s="77" t="s">
        <v>51</v>
      </c>
      <c r="B12" s="35"/>
      <c r="C12" s="26"/>
      <c r="D12" s="35"/>
      <c r="E12" s="26"/>
      <c r="F12" s="35"/>
      <c r="G12" s="26"/>
      <c r="H12" s="35"/>
      <c r="I12" s="26"/>
      <c r="J12" s="35"/>
      <c r="K12" s="26"/>
    </row>
    <row r="13" spans="1:11" ht="12" customHeight="1">
      <c r="A13" s="77"/>
      <c r="B13" s="35">
        <v>249559.88</v>
      </c>
      <c r="C13" s="36">
        <f>IF(B7="", "", IF(B7&lt;=0, "*", B13*100/B7))</f>
        <v>9.3277060830775103</v>
      </c>
      <c r="D13" s="35">
        <v>256993.06</v>
      </c>
      <c r="E13" s="36">
        <f>IF(D7="", "", IF(D7&lt;=0, "*", D13*100/D7))</f>
        <v>9.2901571561084975</v>
      </c>
      <c r="F13" s="35">
        <v>247182.35</v>
      </c>
      <c r="G13" s="36">
        <f>IF(F7="", "", IF(F7&lt;=0, "*", F13*100/F7))</f>
        <v>9.6220438110479947</v>
      </c>
      <c r="H13" s="35">
        <v>258664.3</v>
      </c>
      <c r="I13" s="36">
        <f>IF(H7="", "", IF(H7&lt;=0, "*", H13*100/H7))</f>
        <v>10.030837506794533</v>
      </c>
      <c r="J13" s="35">
        <v>268181.34000000003</v>
      </c>
      <c r="K13" s="36">
        <f>IF(J7="", "", IF(J7&lt;=0, "*", J13*100/J7))</f>
        <v>10.416383913568295</v>
      </c>
    </row>
    <row r="14" spans="1:11" ht="12" customHeight="1">
      <c r="A14" s="64" t="s">
        <v>52</v>
      </c>
      <c r="B14" s="33"/>
      <c r="C14" s="26"/>
      <c r="D14" s="33"/>
      <c r="E14" s="26"/>
      <c r="F14" s="33"/>
      <c r="G14" s="26"/>
      <c r="H14" s="33"/>
      <c r="I14" s="26"/>
      <c r="J14" s="33"/>
      <c r="K14" s="26"/>
    </row>
    <row r="15" spans="1:11" ht="12" customHeight="1">
      <c r="A15" s="64"/>
      <c r="B15" s="35">
        <v>113592.61</v>
      </c>
      <c r="C15" s="36">
        <v>4.3</v>
      </c>
      <c r="D15" s="35">
        <v>107278.79</v>
      </c>
      <c r="E15" s="36">
        <f>IF(D7="", "", IF(D7&lt;=0, "*", D15*100/D7))</f>
        <v>3.8780689977276457</v>
      </c>
      <c r="F15" s="35">
        <v>97515.05</v>
      </c>
      <c r="G15" s="36">
        <f>IF(F7="", "", IF(F7&lt;=0, "*", F15*100/F7))</f>
        <v>3.7959590696363872</v>
      </c>
      <c r="H15" s="35">
        <v>100415.01</v>
      </c>
      <c r="I15" s="36">
        <f>IF(H7="", "", IF(H7&lt;=0, "*", H15*100/H7))</f>
        <v>3.8940304037052971</v>
      </c>
      <c r="J15" s="35">
        <v>96195.3</v>
      </c>
      <c r="K15" s="36">
        <f>IF(J7="", "", IF(J7&lt;=0, "*", J15*100/J7))</f>
        <v>3.7363046044921546</v>
      </c>
    </row>
    <row r="16" spans="1:11" ht="12" customHeight="1">
      <c r="A16" s="7"/>
      <c r="B16" s="35"/>
      <c r="C16" s="36"/>
      <c r="D16" s="35"/>
      <c r="E16" s="36"/>
      <c r="F16" s="35"/>
      <c r="G16" s="36"/>
      <c r="H16" s="35"/>
      <c r="I16" s="36"/>
      <c r="J16" s="35"/>
      <c r="K16" s="36"/>
    </row>
    <row r="17" spans="1:11" ht="12" customHeight="1" thickBot="1">
      <c r="A17" s="7" t="s">
        <v>53</v>
      </c>
      <c r="B17" s="35">
        <v>148272.44</v>
      </c>
      <c r="C17" s="36">
        <f>IF(B7="", "", IF(B7&lt;=0, "*", B17*100/B7))</f>
        <v>5.5419234074833872</v>
      </c>
      <c r="D17" s="35">
        <v>241085.06</v>
      </c>
      <c r="E17" s="36">
        <f>IF(D7="", "", IF(D7&lt;=0, "*", D17*100/D7))</f>
        <v>8.7150917436830646</v>
      </c>
      <c r="F17" s="35">
        <v>179088.75</v>
      </c>
      <c r="G17" s="36">
        <f>IF(F7="", "", IF(F7&lt;=0, "*", F17*100/F7))</f>
        <v>6.9713707251582546</v>
      </c>
      <c r="H17" s="35">
        <v>211304.25</v>
      </c>
      <c r="I17" s="41">
        <f>IF(H7="", "", IF(H7&lt;=0, "*", H17*100/H7))</f>
        <v>8.1942448039605331</v>
      </c>
      <c r="J17" s="35">
        <v>265240.76</v>
      </c>
      <c r="K17" s="36">
        <f>IF(J7="", "", IF(J7&lt;=0, "*", J17*100/J7))</f>
        <v>10.302169366767384</v>
      </c>
    </row>
    <row r="18" spans="1:11" ht="12" customHeight="1">
      <c r="A18" s="42"/>
      <c r="B18" s="43"/>
      <c r="C18" s="44"/>
      <c r="D18" s="43"/>
      <c r="E18" s="44"/>
      <c r="F18" s="43"/>
      <c r="G18" s="44"/>
      <c r="H18" s="43"/>
      <c r="I18" s="44"/>
      <c r="J18" s="43"/>
      <c r="K18" s="44"/>
    </row>
    <row r="19" spans="1:11" ht="12" customHeight="1">
      <c r="A19" s="7" t="s">
        <v>54</v>
      </c>
      <c r="B19" s="45">
        <v>19.338915</v>
      </c>
      <c r="C19" s="26"/>
      <c r="D19" s="45">
        <v>19.276935999999999</v>
      </c>
      <c r="E19" s="26"/>
      <c r="F19" s="45">
        <v>19.196718000000001</v>
      </c>
      <c r="G19" s="26"/>
      <c r="H19" s="45">
        <v>19.435386999999999</v>
      </c>
      <c r="I19" s="26"/>
      <c r="J19" s="45">
        <v>19.290189000000002</v>
      </c>
      <c r="K19" s="26"/>
    </row>
    <row r="20" spans="1:11" ht="12" customHeight="1">
      <c r="A20" s="40"/>
      <c r="B20" s="46"/>
      <c r="C20" s="47"/>
      <c r="D20" s="46"/>
      <c r="E20" s="47"/>
      <c r="F20" s="46"/>
      <c r="G20" s="47"/>
      <c r="H20" s="46"/>
      <c r="I20" s="47"/>
      <c r="J20" s="46"/>
      <c r="K20" s="47"/>
    </row>
    <row r="21" spans="1:11" ht="12" customHeight="1" thickBot="1">
      <c r="A21" s="48" t="s">
        <v>55</v>
      </c>
      <c r="B21" s="49">
        <v>693.81590300000005</v>
      </c>
      <c r="C21" s="37"/>
      <c r="D21" s="49">
        <v>705.22809099999995</v>
      </c>
      <c r="E21" s="37"/>
      <c r="F21" s="49">
        <v>695.23522800000001</v>
      </c>
      <c r="G21" s="37"/>
      <c r="H21" s="49">
        <v>711.54242999999997</v>
      </c>
      <c r="I21" s="37"/>
      <c r="J21" s="49">
        <v>702.93048099999999</v>
      </c>
      <c r="K21" s="37"/>
    </row>
    <row r="22" spans="1:11" ht="11.9" customHeight="1">
      <c r="A22" s="12"/>
      <c r="B22" s="28"/>
      <c r="C22" s="14"/>
      <c r="D22" s="13"/>
      <c r="E22" s="14"/>
      <c r="F22" s="13"/>
      <c r="G22" s="14"/>
      <c r="H22" s="13"/>
      <c r="I22" s="14"/>
      <c r="J22" s="13"/>
      <c r="K22" s="14"/>
    </row>
    <row r="23" spans="1:11" ht="11.9" customHeight="1">
      <c r="A23" s="12" t="s">
        <v>56</v>
      </c>
      <c r="B23" s="28"/>
      <c r="C23" s="14"/>
      <c r="D23" s="13"/>
      <c r="E23" s="14"/>
      <c r="F23" s="13"/>
      <c r="G23" s="14"/>
      <c r="H23" s="13"/>
      <c r="I23" s="14"/>
      <c r="J23" s="13"/>
      <c r="K23" s="14"/>
    </row>
    <row r="24" spans="1:11" ht="11.9" customHeight="1">
      <c r="A24" s="12" t="s">
        <v>57</v>
      </c>
      <c r="B24" s="28"/>
      <c r="C24" s="14"/>
      <c r="D24" s="13"/>
      <c r="E24" s="14"/>
      <c r="F24" s="13"/>
      <c r="G24" s="14"/>
      <c r="H24" s="13"/>
      <c r="I24" s="14"/>
      <c r="J24" s="13"/>
      <c r="K24" s="14"/>
    </row>
    <row r="25" spans="1:11" ht="11.9" customHeight="1">
      <c r="A25" s="12" t="s">
        <v>58</v>
      </c>
      <c r="B25" s="28"/>
      <c r="C25" s="14"/>
      <c r="D25" s="13"/>
      <c r="E25" s="14"/>
      <c r="F25" s="13"/>
      <c r="G25" s="14"/>
      <c r="H25" s="13"/>
      <c r="I25" s="14"/>
      <c r="J25" s="13"/>
      <c r="K25" s="14"/>
    </row>
    <row r="26" spans="1:11" ht="11.9" customHeight="1">
      <c r="A26" s="73" t="s">
        <v>59</v>
      </c>
      <c r="B26" s="50" t="s">
        <v>60</v>
      </c>
      <c r="C26" s="74" t="s">
        <v>61</v>
      </c>
      <c r="D26" s="13"/>
      <c r="E26" s="14"/>
      <c r="F26" s="13"/>
      <c r="G26" s="14"/>
      <c r="H26" s="13"/>
      <c r="I26" s="14"/>
      <c r="J26" s="13"/>
      <c r="K26" s="14"/>
    </row>
    <row r="27" spans="1:11" ht="11.9" customHeight="1">
      <c r="A27" s="73"/>
      <c r="B27" s="13" t="s">
        <v>62</v>
      </c>
      <c r="C27" s="74"/>
      <c r="D27" s="13"/>
      <c r="E27" s="14"/>
      <c r="F27" s="13"/>
      <c r="G27" s="14"/>
      <c r="H27" s="13"/>
      <c r="I27" s="14"/>
      <c r="J27" s="13"/>
      <c r="K27" s="14"/>
    </row>
    <row r="28" spans="1:11" ht="11.9" customHeight="1">
      <c r="A28" s="73" t="s">
        <v>63</v>
      </c>
      <c r="B28" s="75" t="s">
        <v>64</v>
      </c>
      <c r="C28" s="75"/>
      <c r="D28" s="13"/>
      <c r="E28" s="14"/>
      <c r="F28" s="13"/>
      <c r="G28" s="14"/>
      <c r="H28" s="13"/>
      <c r="I28" s="14"/>
      <c r="J28" s="13"/>
      <c r="K28" s="14"/>
    </row>
    <row r="29" spans="1:11" ht="11.9" customHeight="1">
      <c r="A29" s="73"/>
      <c r="B29" s="76" t="s">
        <v>65</v>
      </c>
      <c r="C29" s="76"/>
      <c r="D29" s="13"/>
      <c r="E29" s="14"/>
      <c r="F29" s="13"/>
      <c r="G29" s="14"/>
      <c r="H29" s="13"/>
      <c r="I29" s="14"/>
      <c r="J29" s="13"/>
      <c r="K29" s="14"/>
    </row>
    <row r="30" spans="1:11" ht="11.9" customHeight="1">
      <c r="A30" s="12"/>
      <c r="B30" s="13"/>
      <c r="C30" s="14"/>
      <c r="D30" s="13"/>
      <c r="E30" s="14"/>
      <c r="F30" s="13"/>
      <c r="G30" s="14"/>
      <c r="H30" s="13"/>
      <c r="I30" s="14"/>
      <c r="J30" s="13"/>
      <c r="K30" s="14"/>
    </row>
    <row r="31" spans="1:11" ht="11.9" customHeight="1">
      <c r="A31" s="12"/>
      <c r="B31" s="13"/>
      <c r="C31" s="14"/>
      <c r="D31" s="13"/>
      <c r="E31" s="14"/>
      <c r="F31" s="13"/>
      <c r="G31" s="14"/>
      <c r="H31" s="13"/>
      <c r="I31" s="14"/>
      <c r="J31" s="13"/>
      <c r="K31" s="14"/>
    </row>
    <row r="32" spans="1:11" ht="11.9" customHeight="1">
      <c r="A32" s="12"/>
      <c r="B32" s="13"/>
      <c r="C32" s="14"/>
      <c r="D32" s="13"/>
      <c r="E32" s="14"/>
      <c r="F32" s="13"/>
      <c r="G32" s="14"/>
      <c r="H32" s="13"/>
      <c r="I32" s="14"/>
      <c r="J32" s="13"/>
      <c r="K32" s="14"/>
    </row>
    <row r="33" spans="1:11" ht="11.9" customHeight="1">
      <c r="A33" s="12"/>
      <c r="B33" s="13"/>
      <c r="C33" s="14"/>
      <c r="D33" s="13"/>
      <c r="E33" s="14"/>
      <c r="F33" s="13"/>
      <c r="G33" s="14"/>
      <c r="H33" s="13"/>
      <c r="I33" s="14"/>
      <c r="J33" s="13"/>
      <c r="K33" s="14"/>
    </row>
    <row r="34" spans="1:11" ht="11.9" customHeight="1">
      <c r="A34" s="12"/>
      <c r="B34" s="13"/>
      <c r="C34" s="14"/>
      <c r="D34" s="13"/>
      <c r="E34" s="14"/>
      <c r="F34" s="13"/>
      <c r="G34" s="14"/>
      <c r="H34" s="13"/>
      <c r="I34" s="14"/>
      <c r="J34" s="13"/>
      <c r="K34" s="14"/>
    </row>
    <row r="35" spans="1:11" ht="11.9" customHeight="1">
      <c r="A35" s="12"/>
      <c r="B35" s="13"/>
      <c r="C35" s="14"/>
      <c r="D35" s="13"/>
      <c r="E35" s="14"/>
      <c r="F35" s="13"/>
      <c r="G35" s="14"/>
      <c r="H35" s="13"/>
      <c r="I35" s="14"/>
      <c r="J35" s="13"/>
      <c r="K35" s="14"/>
    </row>
    <row r="36" spans="1:11" ht="11.9" customHeight="1">
      <c r="A36" s="12"/>
      <c r="B36" s="13"/>
      <c r="C36" s="14"/>
      <c r="D36" s="13"/>
      <c r="E36" s="14"/>
      <c r="F36" s="13"/>
      <c r="G36" s="14"/>
      <c r="H36" s="13"/>
      <c r="I36" s="14"/>
      <c r="J36" s="13"/>
      <c r="K36" s="14"/>
    </row>
    <row r="37" spans="1:11" ht="11.9" customHeight="1"/>
    <row r="38" spans="1:11" ht="11.9" customHeight="1"/>
    <row r="39" spans="1:11" ht="11.9" customHeight="1"/>
    <row r="40" spans="1:11" ht="11.9" customHeight="1"/>
    <row r="41" spans="1:11" ht="11.9" customHeight="1"/>
    <row r="42" spans="1:11" ht="11.9" customHeight="1"/>
    <row r="43" spans="1:11" ht="11.9" customHeight="1"/>
    <row r="44" spans="1:11" ht="11.9" customHeight="1"/>
    <row r="45" spans="1:11" ht="11.9" customHeight="1"/>
    <row r="46" spans="1:11" ht="11.9" customHeight="1"/>
    <row r="47" spans="1:11" ht="11.9" customHeight="1"/>
    <row r="48" spans="1:11" ht="11.9" customHeight="1"/>
    <row r="49" ht="11.9" customHeight="1"/>
    <row r="50" ht="11.9" customHeight="1"/>
    <row r="51" ht="11.9" customHeight="1"/>
    <row r="52" ht="11.9" customHeight="1"/>
    <row r="53" ht="11.9" customHeight="1"/>
    <row r="54" ht="11.9" customHeight="1"/>
    <row r="55" ht="11.9" customHeight="1"/>
    <row r="56" ht="11.9" customHeight="1"/>
    <row r="57" ht="11.9" customHeight="1"/>
    <row r="58" ht="11.9" customHeight="1"/>
    <row r="59" ht="11.9" customHeight="1"/>
    <row r="60" ht="11.9" customHeight="1"/>
    <row r="61" ht="11.9" customHeight="1"/>
    <row r="62" ht="11.9" customHeight="1"/>
    <row r="63" ht="11.9" customHeight="1"/>
    <row r="64" ht="11.9" customHeight="1"/>
    <row r="79" spans="1:10">
      <c r="A79" s="10"/>
      <c r="B79" s="11"/>
      <c r="D79" s="11"/>
      <c r="F79" s="11"/>
      <c r="H79" s="11"/>
      <c r="J79" s="11"/>
    </row>
    <row r="80" spans="1:10">
      <c r="A80" s="12"/>
      <c r="B80" s="13"/>
      <c r="D80" s="13"/>
      <c r="F80" s="13"/>
      <c r="H80" s="13"/>
      <c r="J80" s="13"/>
    </row>
    <row r="81" spans="1:10">
      <c r="A81" s="14"/>
      <c r="B81" s="13"/>
      <c r="D81" s="13"/>
      <c r="F81" s="13"/>
      <c r="H81" s="13"/>
      <c r="J81" s="13"/>
    </row>
    <row r="82" spans="1:10">
      <c r="A82" s="14"/>
      <c r="B82" s="13"/>
      <c r="D82" s="13"/>
      <c r="F82" s="13"/>
      <c r="H82" s="13"/>
      <c r="J82" s="13"/>
    </row>
    <row r="83" spans="1:10">
      <c r="A83" s="14"/>
      <c r="B83" s="13"/>
      <c r="D83" s="13"/>
      <c r="F83" s="13"/>
      <c r="H83" s="13"/>
      <c r="J83" s="13"/>
    </row>
    <row r="84" spans="1:10">
      <c r="A84" s="14"/>
      <c r="B84" s="13"/>
      <c r="D84" s="13"/>
      <c r="F84" s="13"/>
      <c r="H84" s="13"/>
      <c r="J84" s="13"/>
    </row>
    <row r="85" spans="1:10">
      <c r="A85" s="14"/>
      <c r="B85" s="13"/>
      <c r="D85" s="13"/>
      <c r="F85" s="13"/>
      <c r="H85" s="13"/>
      <c r="J85" s="13"/>
    </row>
    <row r="86" spans="1:10">
      <c r="A86" s="14"/>
      <c r="B86" s="13"/>
      <c r="D86" s="13"/>
      <c r="F86" s="13"/>
      <c r="H86" s="13"/>
      <c r="J86" s="13"/>
    </row>
    <row r="87" spans="1:10">
      <c r="A87" s="12"/>
      <c r="B87" s="13"/>
      <c r="D87" s="13"/>
      <c r="F87" s="13"/>
      <c r="H87" s="13"/>
      <c r="J87" s="13"/>
    </row>
    <row r="88" spans="1:10">
      <c r="A88" s="12"/>
      <c r="B88" s="13"/>
      <c r="D88" s="13"/>
      <c r="F88" s="13"/>
      <c r="H88" s="13"/>
      <c r="J88" s="13"/>
    </row>
    <row r="89" spans="1:10">
      <c r="A89" s="12"/>
      <c r="B89" s="13"/>
      <c r="D89" s="13"/>
      <c r="F89" s="13"/>
      <c r="H89" s="13"/>
      <c r="J89" s="13"/>
    </row>
    <row r="90" spans="1:10">
      <c r="A90" s="12"/>
      <c r="B90" s="13"/>
      <c r="D90" s="13"/>
      <c r="F90" s="13"/>
      <c r="H90" s="13"/>
      <c r="J90" s="13"/>
    </row>
    <row r="91" spans="1:10">
      <c r="A91" s="12"/>
      <c r="B91" s="13"/>
      <c r="D91" s="13"/>
      <c r="F91" s="13"/>
      <c r="H91" s="13"/>
      <c r="J91" s="13"/>
    </row>
    <row r="92" spans="1:10">
      <c r="A92" s="12"/>
      <c r="B92" s="13"/>
      <c r="D92" s="13"/>
      <c r="F92" s="13"/>
      <c r="H92" s="13"/>
      <c r="J92" s="13"/>
    </row>
    <row r="93" spans="1:10">
      <c r="A93" s="12"/>
      <c r="B93" s="13"/>
      <c r="D93" s="13"/>
      <c r="F93" s="13"/>
      <c r="H93" s="13"/>
      <c r="J93" s="13"/>
    </row>
    <row r="94" spans="1:10">
      <c r="A94" s="14"/>
      <c r="B94" s="13"/>
      <c r="D94" s="13"/>
      <c r="F94" s="13"/>
      <c r="H94" s="13"/>
      <c r="J94" s="13"/>
    </row>
    <row r="95" spans="1:10">
      <c r="A95" s="14"/>
      <c r="B95" s="13"/>
      <c r="D95" s="13"/>
      <c r="F95" s="13"/>
      <c r="H95" s="13"/>
      <c r="J95" s="13"/>
    </row>
  </sheetData>
  <mergeCells count="15">
    <mergeCell ref="J4:K4"/>
    <mergeCell ref="D4:E4"/>
    <mergeCell ref="F4:G4"/>
    <mergeCell ref="B4:C4"/>
    <mergeCell ref="H4:I4"/>
    <mergeCell ref="A6:A7"/>
    <mergeCell ref="A26:A27"/>
    <mergeCell ref="C26:C27"/>
    <mergeCell ref="A28:A29"/>
    <mergeCell ref="B28:C28"/>
    <mergeCell ref="B29:C29"/>
    <mergeCell ref="A4:A5"/>
    <mergeCell ref="A14:A15"/>
    <mergeCell ref="A12:A13"/>
    <mergeCell ref="A8:A9"/>
  </mergeCells>
  <phoneticPr fontId="2"/>
  <printOptions horizontalCentered="1"/>
  <pageMargins left="0.19685039370078741" right="0.19685039370078741" top="0.78740157480314965" bottom="0.59055118110236227" header="0.51181102362204722" footer="0.39370078740157483"/>
  <pageSetup paperSize="9" scale="82" orientation="landscape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17466-9CC6-4AAB-A6F1-46C2073A2767}">
  <sheetPr codeName="Sheet18">
    <pageSetUpPr fitToPage="1"/>
  </sheetPr>
  <dimension ref="A1:K131"/>
  <sheetViews>
    <sheetView showGridLines="0" zoomScaleNormal="100" workbookViewId="0"/>
  </sheetViews>
  <sheetFormatPr defaultColWidth="10.296875" defaultRowHeight="11"/>
  <cols>
    <col min="1" max="1" width="35.3984375" style="1" bestFit="1" customWidth="1"/>
    <col min="2" max="2" width="17.8984375" style="1" customWidth="1"/>
    <col min="3" max="3" width="9.296875" style="1" customWidth="1"/>
    <col min="4" max="4" width="17.8984375" style="1" customWidth="1"/>
    <col min="5" max="5" width="9.296875" style="1" customWidth="1"/>
    <col min="6" max="6" width="17.8984375" style="1" customWidth="1"/>
    <col min="7" max="7" width="9.296875" style="1" customWidth="1"/>
    <col min="8" max="8" width="17.8984375" style="1" customWidth="1"/>
    <col min="9" max="9" width="9.296875" style="1" customWidth="1"/>
    <col min="10" max="10" width="17.8984375" style="1" customWidth="1"/>
    <col min="11" max="11" width="9.296875" style="1" customWidth="1"/>
    <col min="12" max="16384" width="10.296875" style="1"/>
  </cols>
  <sheetData>
    <row r="1" spans="1:11" ht="19">
      <c r="B1" s="2" t="s">
        <v>67</v>
      </c>
    </row>
    <row r="3" spans="1:11" ht="11.5" thickBot="1">
      <c r="K3" s="3" t="s">
        <v>68</v>
      </c>
    </row>
    <row r="4" spans="1:11" ht="12" customHeight="1" thickBot="1">
      <c r="A4" s="67" t="s">
        <v>69</v>
      </c>
      <c r="B4" s="62">
        <v>1999</v>
      </c>
      <c r="C4" s="62"/>
      <c r="D4" s="62">
        <v>2000</v>
      </c>
      <c r="E4" s="62"/>
      <c r="F4" s="62">
        <v>2001</v>
      </c>
      <c r="G4" s="62"/>
      <c r="H4" s="62">
        <v>2002</v>
      </c>
      <c r="I4" s="62"/>
      <c r="J4" s="62">
        <v>2003</v>
      </c>
      <c r="K4" s="62"/>
    </row>
    <row r="5" spans="1:11" ht="25" customHeight="1" thickBot="1">
      <c r="A5" s="68"/>
      <c r="B5" s="15"/>
      <c r="C5" s="16" t="s">
        <v>107</v>
      </c>
      <c r="D5" s="15"/>
      <c r="E5" s="16" t="s">
        <v>107</v>
      </c>
      <c r="F5" s="15"/>
      <c r="G5" s="16" t="s">
        <v>107</v>
      </c>
      <c r="H5" s="15"/>
      <c r="I5" s="16" t="s">
        <v>107</v>
      </c>
      <c r="J5" s="15"/>
      <c r="K5" s="16" t="s">
        <v>107</v>
      </c>
    </row>
    <row r="6" spans="1:11" ht="12" customHeight="1">
      <c r="A6" s="66" t="s">
        <v>70</v>
      </c>
      <c r="B6" s="17"/>
      <c r="C6" s="18"/>
      <c r="D6" s="17"/>
      <c r="E6" s="18"/>
      <c r="F6" s="17"/>
      <c r="G6" s="18"/>
      <c r="H6" s="17"/>
      <c r="I6" s="18"/>
      <c r="J6" s="17"/>
      <c r="K6" s="18"/>
    </row>
    <row r="7" spans="1:11" ht="12" customHeight="1">
      <c r="A7" s="64"/>
      <c r="B7" s="19">
        <v>358295.93</v>
      </c>
      <c r="C7" s="20">
        <v>-8.8000000000000007</v>
      </c>
      <c r="D7" s="19">
        <v>388961.85</v>
      </c>
      <c r="E7" s="20">
        <v>8.6</v>
      </c>
      <c r="F7" s="19">
        <v>365023.21</v>
      </c>
      <c r="G7" s="20">
        <v>-6.2044030000000001</v>
      </c>
      <c r="H7" s="19">
        <v>297478.74</v>
      </c>
      <c r="I7" s="20">
        <v>-18.504158</v>
      </c>
      <c r="J7" s="19">
        <v>316319.15999999997</v>
      </c>
      <c r="K7" s="20">
        <v>6.333367</v>
      </c>
    </row>
    <row r="8" spans="1:11" ht="12" customHeight="1">
      <c r="A8" s="64" t="s">
        <v>71</v>
      </c>
      <c r="B8" s="19"/>
      <c r="C8" s="20"/>
      <c r="D8" s="19"/>
      <c r="E8" s="20"/>
      <c r="F8" s="19"/>
      <c r="G8" s="20"/>
      <c r="H8" s="19"/>
      <c r="I8" s="20"/>
      <c r="J8" s="19"/>
      <c r="K8" s="20"/>
    </row>
    <row r="9" spans="1:11" ht="12" customHeight="1">
      <c r="A9" s="64"/>
      <c r="B9" s="19">
        <v>111653.78</v>
      </c>
      <c r="C9" s="20">
        <v>-14</v>
      </c>
      <c r="D9" s="19">
        <v>132382.84</v>
      </c>
      <c r="E9" s="20">
        <v>18.600000000000001</v>
      </c>
      <c r="F9" s="19">
        <v>112915.23</v>
      </c>
      <c r="G9" s="20">
        <v>-14.735678999999999</v>
      </c>
      <c r="H9" s="19">
        <v>90389.58</v>
      </c>
      <c r="I9" s="20">
        <v>-19.949169000000001</v>
      </c>
      <c r="J9" s="19">
        <v>96835.04</v>
      </c>
      <c r="K9" s="20">
        <v>7.1307559999999999</v>
      </c>
    </row>
    <row r="10" spans="1:11" ht="12" customHeight="1">
      <c r="A10" s="64" t="s">
        <v>72</v>
      </c>
      <c r="B10" s="19"/>
      <c r="C10" s="20"/>
      <c r="D10" s="19"/>
      <c r="E10" s="20"/>
      <c r="F10" s="19"/>
      <c r="G10" s="20"/>
      <c r="H10" s="19"/>
      <c r="I10" s="20"/>
      <c r="J10" s="19"/>
      <c r="K10" s="20"/>
    </row>
    <row r="11" spans="1:11" ht="12" customHeight="1">
      <c r="A11" s="64"/>
      <c r="B11" s="19">
        <v>12968.89</v>
      </c>
      <c r="C11" s="20">
        <v>29.5</v>
      </c>
      <c r="D11" s="19">
        <v>13762.65</v>
      </c>
      <c r="E11" s="20">
        <v>6.1</v>
      </c>
      <c r="F11" s="19">
        <v>11383.37</v>
      </c>
      <c r="G11" s="20">
        <v>-17.287949999999999</v>
      </c>
      <c r="H11" s="19">
        <v>8910.8700000000008</v>
      </c>
      <c r="I11" s="20">
        <v>-21.720281</v>
      </c>
      <c r="J11" s="19">
        <v>6037.47</v>
      </c>
      <c r="K11" s="20">
        <v>-32.246009999999998</v>
      </c>
    </row>
    <row r="12" spans="1:11" ht="12" customHeight="1">
      <c r="A12" s="64" t="s">
        <v>73</v>
      </c>
      <c r="B12" s="19"/>
      <c r="C12" s="20"/>
      <c r="D12" s="19"/>
      <c r="E12" s="20"/>
      <c r="F12" s="19"/>
      <c r="G12" s="20"/>
      <c r="H12" s="19"/>
      <c r="I12" s="20"/>
      <c r="J12" s="19"/>
      <c r="K12" s="20"/>
    </row>
    <row r="13" spans="1:11" ht="12" customHeight="1">
      <c r="A13" s="64"/>
      <c r="B13" s="19">
        <v>6402.98</v>
      </c>
      <c r="C13" s="20">
        <v>10.1</v>
      </c>
      <c r="D13" s="19">
        <v>5066.8999999999996</v>
      </c>
      <c r="E13" s="20">
        <v>-20.9</v>
      </c>
      <c r="F13" s="19">
        <v>4591.9399999999996</v>
      </c>
      <c r="G13" s="20">
        <v>-9.3360830000000004</v>
      </c>
      <c r="H13" s="19">
        <v>4215.3900000000003</v>
      </c>
      <c r="I13" s="20">
        <v>-8.2002380000000006</v>
      </c>
      <c r="J13" s="19">
        <v>5455.92</v>
      </c>
      <c r="K13" s="20">
        <v>29.428594</v>
      </c>
    </row>
    <row r="14" spans="1:11" ht="12" customHeight="1">
      <c r="A14" s="64" t="s">
        <v>74</v>
      </c>
      <c r="B14" s="19"/>
      <c r="C14" s="20"/>
      <c r="D14" s="19"/>
      <c r="E14" s="20"/>
      <c r="F14" s="19"/>
      <c r="G14" s="20"/>
      <c r="H14" s="19"/>
      <c r="I14" s="20"/>
      <c r="J14" s="19"/>
      <c r="K14" s="20"/>
    </row>
    <row r="15" spans="1:11" ht="12" customHeight="1">
      <c r="A15" s="64"/>
      <c r="B15" s="19">
        <v>12678.69</v>
      </c>
      <c r="C15" s="20">
        <v>-21</v>
      </c>
      <c r="D15" s="19">
        <v>13677.52</v>
      </c>
      <c r="E15" s="20">
        <v>7.9</v>
      </c>
      <c r="F15" s="19">
        <v>14778.79</v>
      </c>
      <c r="G15" s="20">
        <v>8.0416629999999998</v>
      </c>
      <c r="H15" s="19">
        <v>12614.99</v>
      </c>
      <c r="I15" s="20">
        <v>-14.641253000000001</v>
      </c>
      <c r="J15" s="19">
        <v>9849.77</v>
      </c>
      <c r="K15" s="20">
        <v>-21.920113000000001</v>
      </c>
    </row>
    <row r="16" spans="1:11" ht="12" customHeight="1">
      <c r="A16" s="64" t="s">
        <v>75</v>
      </c>
      <c r="B16" s="19"/>
      <c r="C16" s="20"/>
      <c r="D16" s="19"/>
      <c r="E16" s="20"/>
      <c r="F16" s="19"/>
      <c r="G16" s="20"/>
      <c r="H16" s="19"/>
      <c r="I16" s="20"/>
      <c r="J16" s="19"/>
      <c r="K16" s="20"/>
    </row>
    <row r="17" spans="1:11" ht="12" customHeight="1">
      <c r="A17" s="64"/>
      <c r="B17" s="19">
        <v>4840.83</v>
      </c>
      <c r="C17" s="20">
        <v>-1.1000000000000001</v>
      </c>
      <c r="D17" s="19">
        <v>4301.18</v>
      </c>
      <c r="E17" s="20">
        <v>-11.1</v>
      </c>
      <c r="F17" s="19">
        <v>5171.4399999999996</v>
      </c>
      <c r="G17" s="20">
        <v>20.200503000000001</v>
      </c>
      <c r="H17" s="19">
        <v>3489.26</v>
      </c>
      <c r="I17" s="20">
        <v>-32.528270999999997</v>
      </c>
      <c r="J17" s="19">
        <v>3826.06</v>
      </c>
      <c r="K17" s="20">
        <v>9.6524760000000001</v>
      </c>
    </row>
    <row r="18" spans="1:11" ht="12" customHeight="1">
      <c r="A18" s="64" t="s">
        <v>76</v>
      </c>
      <c r="B18" s="19"/>
      <c r="C18" s="20"/>
      <c r="D18" s="19"/>
      <c r="E18" s="20"/>
      <c r="F18" s="19"/>
      <c r="G18" s="20"/>
      <c r="H18" s="19"/>
      <c r="I18" s="20"/>
      <c r="J18" s="19"/>
      <c r="K18" s="20"/>
    </row>
    <row r="19" spans="1:11" ht="12" customHeight="1">
      <c r="A19" s="64"/>
      <c r="B19" s="19">
        <v>6027.33</v>
      </c>
      <c r="C19" s="20">
        <v>-17.600000000000001</v>
      </c>
      <c r="D19" s="19">
        <v>6921.5</v>
      </c>
      <c r="E19" s="20">
        <v>14.8</v>
      </c>
      <c r="F19" s="19">
        <v>5732.24</v>
      </c>
      <c r="G19" s="20">
        <v>-17.182113999999999</v>
      </c>
      <c r="H19" s="19">
        <v>4705.3599999999997</v>
      </c>
      <c r="I19" s="20">
        <v>-17.914114000000001</v>
      </c>
      <c r="J19" s="19">
        <v>9984.32</v>
      </c>
      <c r="K19" s="20">
        <v>112.190353</v>
      </c>
    </row>
    <row r="20" spans="1:11" ht="12" customHeight="1">
      <c r="A20" s="64" t="s">
        <v>77</v>
      </c>
      <c r="B20" s="19"/>
      <c r="C20" s="20"/>
      <c r="D20" s="19"/>
      <c r="E20" s="20"/>
      <c r="F20" s="19"/>
      <c r="G20" s="20"/>
      <c r="H20" s="19"/>
      <c r="I20" s="20"/>
      <c r="J20" s="19"/>
      <c r="K20" s="20"/>
    </row>
    <row r="21" spans="1:11" ht="12" customHeight="1">
      <c r="A21" s="64"/>
      <c r="B21" s="19">
        <v>24212.35</v>
      </c>
      <c r="C21" s="20">
        <v>-15.2</v>
      </c>
      <c r="D21" s="19">
        <v>39265.599999999999</v>
      </c>
      <c r="E21" s="20">
        <v>62.2</v>
      </c>
      <c r="F21" s="19">
        <v>24058.31</v>
      </c>
      <c r="G21" s="20">
        <v>-38.760213</v>
      </c>
      <c r="H21" s="19">
        <v>14229.4</v>
      </c>
      <c r="I21" s="20">
        <v>-40.854531999999999</v>
      </c>
      <c r="J21" s="19">
        <v>17095.64</v>
      </c>
      <c r="K21" s="20">
        <v>20.143084000000002</v>
      </c>
    </row>
    <row r="22" spans="1:11" ht="12" customHeight="1">
      <c r="A22" s="64" t="s">
        <v>78</v>
      </c>
      <c r="B22" s="19"/>
      <c r="C22" s="20"/>
      <c r="D22" s="19"/>
      <c r="E22" s="20"/>
      <c r="F22" s="19"/>
      <c r="G22" s="20"/>
      <c r="H22" s="19"/>
      <c r="I22" s="20"/>
      <c r="J22" s="19"/>
      <c r="K22" s="20"/>
    </row>
    <row r="23" spans="1:11" ht="12" customHeight="1">
      <c r="A23" s="64"/>
      <c r="B23" s="19">
        <v>13938</v>
      </c>
      <c r="C23" s="20">
        <v>-29.2</v>
      </c>
      <c r="D23" s="19">
        <v>13523.99</v>
      </c>
      <c r="E23" s="20">
        <v>-3</v>
      </c>
      <c r="F23" s="19">
        <v>14558.81</v>
      </c>
      <c r="G23" s="20">
        <v>7.5729129999999998</v>
      </c>
      <c r="H23" s="19">
        <v>14586.21</v>
      </c>
      <c r="I23" s="20">
        <v>0.18820200000000001</v>
      </c>
      <c r="J23" s="19">
        <v>18448.900000000001</v>
      </c>
      <c r="K23" s="20">
        <v>26.481793</v>
      </c>
    </row>
    <row r="24" spans="1:11" ht="12" customHeight="1">
      <c r="A24" s="64" t="s">
        <v>79</v>
      </c>
      <c r="B24" s="19"/>
      <c r="C24" s="20"/>
      <c r="D24" s="19"/>
      <c r="E24" s="20"/>
      <c r="F24" s="19"/>
      <c r="G24" s="20"/>
      <c r="H24" s="19"/>
      <c r="I24" s="20"/>
      <c r="J24" s="19"/>
      <c r="K24" s="20"/>
    </row>
    <row r="25" spans="1:11" ht="12" customHeight="1">
      <c r="A25" s="64"/>
      <c r="B25" s="19">
        <v>246642.15</v>
      </c>
      <c r="C25" s="20">
        <v>-6.3</v>
      </c>
      <c r="D25" s="19">
        <v>256579.01</v>
      </c>
      <c r="E25" s="20">
        <v>4</v>
      </c>
      <c r="F25" s="19">
        <v>252107.98</v>
      </c>
      <c r="G25" s="20">
        <v>-1.8026610000000001</v>
      </c>
      <c r="H25" s="19">
        <v>207089.16</v>
      </c>
      <c r="I25" s="20">
        <v>-17.856960000000001</v>
      </c>
      <c r="J25" s="19">
        <v>219484.12</v>
      </c>
      <c r="K25" s="20">
        <v>5.9853249999999996</v>
      </c>
    </row>
    <row r="26" spans="1:11" ht="12" customHeight="1">
      <c r="A26" s="64" t="s">
        <v>80</v>
      </c>
      <c r="B26" s="19"/>
      <c r="C26" s="20"/>
      <c r="D26" s="19"/>
      <c r="E26" s="20"/>
      <c r="F26" s="19"/>
      <c r="G26" s="20"/>
      <c r="H26" s="19"/>
      <c r="I26" s="20"/>
      <c r="J26" s="19"/>
      <c r="K26" s="20"/>
    </row>
    <row r="27" spans="1:11" ht="12" customHeight="1">
      <c r="A27" s="64"/>
      <c r="B27" s="19">
        <v>14478.09</v>
      </c>
      <c r="C27" s="20">
        <v>-9.3000000000000007</v>
      </c>
      <c r="D27" s="19">
        <v>7454.64</v>
      </c>
      <c r="E27" s="20">
        <v>-48.5</v>
      </c>
      <c r="F27" s="19">
        <v>13825.81</v>
      </c>
      <c r="G27" s="20">
        <v>85.450671999999997</v>
      </c>
      <c r="H27" s="19">
        <v>9157.99</v>
      </c>
      <c r="I27" s="20">
        <v>-33.761639000000002</v>
      </c>
      <c r="J27" s="19">
        <v>9611.1200000000008</v>
      </c>
      <c r="K27" s="20">
        <v>4.9479199999999999</v>
      </c>
    </row>
    <row r="28" spans="1:11" ht="12" customHeight="1">
      <c r="A28" s="64" t="s">
        <v>81</v>
      </c>
      <c r="B28" s="19"/>
      <c r="C28" s="20"/>
      <c r="D28" s="19"/>
      <c r="E28" s="20"/>
      <c r="F28" s="19"/>
      <c r="G28" s="20"/>
      <c r="H28" s="19"/>
      <c r="I28" s="20"/>
      <c r="J28" s="19"/>
      <c r="K28" s="20"/>
    </row>
    <row r="29" spans="1:11" ht="12" customHeight="1">
      <c r="A29" s="64"/>
      <c r="B29" s="19">
        <v>39283.440000000002</v>
      </c>
      <c r="C29" s="20">
        <v>-10.8</v>
      </c>
      <c r="D29" s="19">
        <v>49550.36</v>
      </c>
      <c r="E29" s="20">
        <v>26.1</v>
      </c>
      <c r="F29" s="19">
        <v>44346.28</v>
      </c>
      <c r="G29" s="20">
        <v>-10.529045999999999</v>
      </c>
      <c r="H29" s="19">
        <v>32663.16</v>
      </c>
      <c r="I29" s="20">
        <v>-26.345209000000001</v>
      </c>
      <c r="J29" s="19">
        <v>55419.67</v>
      </c>
      <c r="K29" s="20">
        <v>69.670265000000001</v>
      </c>
    </row>
    <row r="30" spans="1:11" ht="12" customHeight="1">
      <c r="A30" s="64" t="s">
        <v>82</v>
      </c>
      <c r="B30" s="19"/>
      <c r="C30" s="20"/>
      <c r="D30" s="19"/>
      <c r="E30" s="20"/>
      <c r="F30" s="19"/>
      <c r="G30" s="20"/>
      <c r="H30" s="19"/>
      <c r="I30" s="20"/>
      <c r="J30" s="19"/>
      <c r="K30" s="20"/>
    </row>
    <row r="31" spans="1:11" ht="12" customHeight="1">
      <c r="A31" s="64"/>
      <c r="B31" s="19">
        <v>28608.01</v>
      </c>
      <c r="C31" s="20">
        <v>133.69999999999999</v>
      </c>
      <c r="D31" s="19">
        <v>16373.47</v>
      </c>
      <c r="E31" s="20">
        <v>-42.8</v>
      </c>
      <c r="F31" s="19">
        <v>14700.86</v>
      </c>
      <c r="G31" s="20">
        <v>-10.245965</v>
      </c>
      <c r="H31" s="19">
        <v>12921.77</v>
      </c>
      <c r="I31" s="20">
        <v>-12.101945000000001</v>
      </c>
      <c r="J31" s="19">
        <v>22795.09</v>
      </c>
      <c r="K31" s="20">
        <v>76.408417999999998</v>
      </c>
    </row>
    <row r="32" spans="1:11" ht="12" customHeight="1">
      <c r="A32" s="64" t="s">
        <v>83</v>
      </c>
      <c r="B32" s="19"/>
      <c r="C32" s="20"/>
      <c r="D32" s="19"/>
      <c r="E32" s="20"/>
      <c r="F32" s="19"/>
      <c r="G32" s="20"/>
      <c r="H32" s="19"/>
      <c r="I32" s="20"/>
      <c r="J32" s="19"/>
      <c r="K32" s="20"/>
    </row>
    <row r="33" spans="1:11" ht="12" customHeight="1">
      <c r="A33" s="64"/>
      <c r="B33" s="19">
        <v>48396.7</v>
      </c>
      <c r="C33" s="20">
        <v>-23</v>
      </c>
      <c r="D33" s="19">
        <v>65447.51</v>
      </c>
      <c r="E33" s="20">
        <v>35.200000000000003</v>
      </c>
      <c r="F33" s="19">
        <v>50989.04</v>
      </c>
      <c r="G33" s="20">
        <v>-22.098595</v>
      </c>
      <c r="H33" s="19">
        <v>46672.43</v>
      </c>
      <c r="I33" s="20">
        <v>-8.4657599999999995</v>
      </c>
      <c r="J33" s="19">
        <v>16905.61</v>
      </c>
      <c r="K33" s="20">
        <v>-63.778165999999999</v>
      </c>
    </row>
    <row r="34" spans="1:11" ht="12" customHeight="1">
      <c r="A34" s="64" t="s">
        <v>84</v>
      </c>
      <c r="B34" s="19"/>
      <c r="C34" s="20"/>
      <c r="D34" s="19"/>
      <c r="E34" s="20"/>
      <c r="F34" s="19"/>
      <c r="G34" s="20"/>
      <c r="H34" s="19"/>
      <c r="I34" s="20"/>
      <c r="J34" s="19"/>
      <c r="K34" s="20"/>
    </row>
    <row r="35" spans="1:11" ht="12" customHeight="1">
      <c r="A35" s="64"/>
      <c r="B35" s="19">
        <v>27220.560000000001</v>
      </c>
      <c r="C35" s="20">
        <v>-6.4</v>
      </c>
      <c r="D35" s="19">
        <v>23575.599999999999</v>
      </c>
      <c r="E35" s="20">
        <v>-13.4</v>
      </c>
      <c r="F35" s="19">
        <v>21441.24</v>
      </c>
      <c r="G35" s="20">
        <v>-9.0532579999999996</v>
      </c>
      <c r="H35" s="19">
        <v>16085.95</v>
      </c>
      <c r="I35" s="20">
        <v>-24.976586999999999</v>
      </c>
      <c r="J35" s="19">
        <v>13247.77</v>
      </c>
      <c r="K35" s="20">
        <v>-17.643844000000001</v>
      </c>
    </row>
    <row r="36" spans="1:11" ht="12" customHeight="1">
      <c r="A36" s="64" t="s">
        <v>85</v>
      </c>
      <c r="B36" s="19"/>
      <c r="C36" s="20"/>
      <c r="D36" s="19"/>
      <c r="E36" s="20"/>
      <c r="F36" s="19"/>
      <c r="G36" s="20"/>
      <c r="H36" s="19"/>
      <c r="I36" s="20"/>
      <c r="J36" s="19"/>
      <c r="K36" s="20"/>
    </row>
    <row r="37" spans="1:11" ht="12" customHeight="1" thickBot="1">
      <c r="A37" s="64"/>
      <c r="B37" s="19">
        <v>81956.759999999995</v>
      </c>
      <c r="C37" s="20">
        <v>-11.2</v>
      </c>
      <c r="D37" s="19">
        <v>87746.33</v>
      </c>
      <c r="E37" s="20">
        <v>7.1</v>
      </c>
      <c r="F37" s="19">
        <v>100541.73</v>
      </c>
      <c r="G37" s="20">
        <v>14.434837</v>
      </c>
      <c r="H37" s="19">
        <v>85096.95</v>
      </c>
      <c r="I37" s="20">
        <v>-15.361561999999999</v>
      </c>
      <c r="J37" s="19">
        <v>95458.26</v>
      </c>
      <c r="K37" s="20">
        <v>12.175889</v>
      </c>
    </row>
    <row r="38" spans="1:11" ht="12" customHeight="1">
      <c r="A38" s="66" t="s">
        <v>86</v>
      </c>
      <c r="B38" s="21"/>
      <c r="C38" s="18"/>
      <c r="D38" s="21"/>
      <c r="E38" s="18"/>
      <c r="F38" s="21"/>
      <c r="G38" s="18"/>
      <c r="H38" s="21"/>
      <c r="I38" s="18"/>
      <c r="J38" s="21"/>
      <c r="K38" s="18"/>
    </row>
    <row r="39" spans="1:11" ht="12" customHeight="1">
      <c r="A39" s="64"/>
      <c r="B39" s="19"/>
      <c r="C39" s="20"/>
      <c r="D39" s="19"/>
      <c r="E39" s="20"/>
      <c r="F39" s="19"/>
      <c r="G39" s="20"/>
      <c r="H39" s="19"/>
      <c r="I39" s="20"/>
      <c r="J39" s="19"/>
      <c r="K39" s="20"/>
    </row>
    <row r="40" spans="1:11" ht="12" customHeight="1">
      <c r="A40" s="64" t="s">
        <v>87</v>
      </c>
      <c r="B40" s="19"/>
      <c r="C40" s="20"/>
      <c r="D40" s="19"/>
      <c r="E40" s="20"/>
      <c r="F40" s="19"/>
      <c r="G40" s="20"/>
      <c r="H40" s="19"/>
      <c r="I40" s="20"/>
      <c r="J40" s="19"/>
      <c r="K40" s="20"/>
    </row>
    <row r="41" spans="1:11" ht="12" customHeight="1">
      <c r="A41" s="64"/>
      <c r="B41" s="19">
        <v>204639.25</v>
      </c>
      <c r="C41" s="20">
        <v>-11.3</v>
      </c>
      <c r="D41" s="19">
        <v>218214.86</v>
      </c>
      <c r="E41" s="20">
        <v>6.6</v>
      </c>
      <c r="F41" s="19">
        <v>203808.04</v>
      </c>
      <c r="G41" s="20">
        <v>-6.6562520000000003</v>
      </c>
      <c r="H41" s="19">
        <v>175104.8</v>
      </c>
      <c r="I41" s="20">
        <v>-14.083468</v>
      </c>
      <c r="J41" s="19">
        <v>184153.60000000001</v>
      </c>
      <c r="K41" s="20">
        <v>5.1676479999999998</v>
      </c>
    </row>
    <row r="42" spans="1:11" ht="12" customHeight="1">
      <c r="A42" s="64" t="s">
        <v>88</v>
      </c>
      <c r="B42" s="19"/>
      <c r="C42" s="20"/>
      <c r="D42" s="19"/>
      <c r="E42" s="20"/>
      <c r="F42" s="19"/>
      <c r="G42" s="20"/>
      <c r="H42" s="19"/>
      <c r="I42" s="20"/>
      <c r="J42" s="19"/>
      <c r="K42" s="20"/>
    </row>
    <row r="43" spans="1:11" ht="12" customHeight="1">
      <c r="A43" s="64"/>
      <c r="B43" s="19">
        <v>55036.11</v>
      </c>
      <c r="C43" s="20">
        <v>-2.5</v>
      </c>
      <c r="D43" s="19">
        <v>57874.83</v>
      </c>
      <c r="E43" s="20">
        <v>5.2</v>
      </c>
      <c r="F43" s="19">
        <v>48158.02</v>
      </c>
      <c r="G43" s="20">
        <v>-16.920688999999999</v>
      </c>
      <c r="H43" s="19">
        <v>40972.080000000002</v>
      </c>
      <c r="I43" s="20">
        <v>-14.921585</v>
      </c>
      <c r="J43" s="19">
        <v>17918.43</v>
      </c>
      <c r="K43" s="20">
        <v>-56.266731</v>
      </c>
    </row>
    <row r="44" spans="1:11" ht="12" customHeight="1">
      <c r="A44" s="64" t="s">
        <v>89</v>
      </c>
      <c r="B44" s="19"/>
      <c r="C44" s="20"/>
      <c r="D44" s="19"/>
      <c r="E44" s="20"/>
      <c r="F44" s="19"/>
      <c r="G44" s="20"/>
      <c r="H44" s="19"/>
      <c r="I44" s="20"/>
      <c r="J44" s="19"/>
      <c r="K44" s="20"/>
    </row>
    <row r="45" spans="1:11" ht="12" customHeight="1">
      <c r="A45" s="64"/>
      <c r="B45" s="19">
        <v>84096.35</v>
      </c>
      <c r="C45" s="20">
        <v>2.2000000000000002</v>
      </c>
      <c r="D45" s="19">
        <v>95137.87</v>
      </c>
      <c r="E45" s="20">
        <v>13.1</v>
      </c>
      <c r="F45" s="19">
        <v>94927.97</v>
      </c>
      <c r="G45" s="20">
        <v>-0.22062699999999999</v>
      </c>
      <c r="H45" s="19">
        <v>66342.850000000006</v>
      </c>
      <c r="I45" s="20">
        <v>-30.112431999999998</v>
      </c>
      <c r="J45" s="19">
        <v>92980.38</v>
      </c>
      <c r="K45" s="20">
        <v>40.151319999999998</v>
      </c>
    </row>
    <row r="46" spans="1:11" ht="12" customHeight="1">
      <c r="A46" s="64" t="s">
        <v>90</v>
      </c>
      <c r="B46" s="19"/>
      <c r="C46" s="20"/>
      <c r="D46" s="19"/>
      <c r="E46" s="20"/>
      <c r="F46" s="19"/>
      <c r="G46" s="20"/>
      <c r="H46" s="19"/>
      <c r="I46" s="20"/>
      <c r="J46" s="19"/>
      <c r="K46" s="20"/>
    </row>
    <row r="47" spans="1:11" ht="12" customHeight="1" thickBot="1">
      <c r="A47" s="65"/>
      <c r="B47" s="22">
        <v>14524.22</v>
      </c>
      <c r="C47" s="23">
        <v>-38.5</v>
      </c>
      <c r="D47" s="22">
        <v>17734.29</v>
      </c>
      <c r="E47" s="23">
        <v>22.1</v>
      </c>
      <c r="F47" s="22">
        <v>18129.18</v>
      </c>
      <c r="G47" s="23">
        <v>2.2267030000000001</v>
      </c>
      <c r="H47" s="22">
        <v>15059.01</v>
      </c>
      <c r="I47" s="23">
        <v>-16.934963</v>
      </c>
      <c r="J47" s="22">
        <v>21266.75</v>
      </c>
      <c r="K47" s="23">
        <v>41.222763</v>
      </c>
    </row>
    <row r="48" spans="1:11" ht="11.9" customHeight="1">
      <c r="A48" s="12"/>
      <c r="B48" s="13"/>
      <c r="C48" s="14"/>
      <c r="D48" s="13"/>
      <c r="E48" s="14"/>
      <c r="F48" s="13"/>
      <c r="G48" s="14"/>
      <c r="H48" s="13"/>
      <c r="I48" s="14"/>
      <c r="J48" s="13"/>
      <c r="K48" s="14"/>
    </row>
    <row r="49" spans="1:11" ht="11.9" customHeight="1">
      <c r="A49" s="12"/>
      <c r="B49" s="13"/>
      <c r="C49" s="14"/>
      <c r="D49" s="13"/>
      <c r="E49" s="14"/>
      <c r="F49" s="13"/>
      <c r="G49" s="14"/>
      <c r="H49" s="13"/>
      <c r="I49" s="14"/>
      <c r="J49" s="13"/>
      <c r="K49" s="14"/>
    </row>
    <row r="50" spans="1:11" ht="11.9" customHeight="1">
      <c r="A50" s="12"/>
      <c r="B50" s="13"/>
      <c r="C50" s="14"/>
      <c r="D50" s="13"/>
      <c r="E50" s="14"/>
      <c r="F50" s="13"/>
      <c r="G50" s="14"/>
      <c r="H50" s="13"/>
      <c r="I50" s="14"/>
      <c r="J50" s="13"/>
      <c r="K50" s="14"/>
    </row>
    <row r="51" spans="1:11" ht="11.9" customHeight="1">
      <c r="A51" s="24"/>
      <c r="B51" s="13"/>
      <c r="C51" s="14"/>
      <c r="D51" s="13"/>
      <c r="E51" s="14"/>
      <c r="F51" s="13"/>
      <c r="G51" s="14"/>
      <c r="H51" s="13"/>
      <c r="I51" s="14"/>
      <c r="J51" s="13"/>
      <c r="K51" s="14"/>
    </row>
    <row r="52" spans="1:11" ht="11.9" customHeight="1">
      <c r="A52" s="12"/>
      <c r="B52" s="13"/>
      <c r="C52" s="14"/>
      <c r="D52" s="13"/>
      <c r="E52" s="14"/>
      <c r="F52" s="13"/>
      <c r="G52" s="14"/>
      <c r="H52" s="13"/>
      <c r="I52" s="14"/>
      <c r="J52" s="13"/>
      <c r="K52" s="14"/>
    </row>
    <row r="53" spans="1:11" ht="11.9" customHeight="1">
      <c r="A53" s="12"/>
      <c r="B53" s="13"/>
      <c r="C53" s="14"/>
      <c r="D53" s="13"/>
      <c r="E53" s="14"/>
      <c r="F53" s="13"/>
      <c r="G53" s="14"/>
      <c r="H53" s="13"/>
      <c r="I53" s="14"/>
      <c r="J53" s="13"/>
      <c r="K53" s="14"/>
    </row>
    <row r="54" spans="1:11" ht="11.9" customHeight="1">
      <c r="A54" s="12"/>
      <c r="B54" s="13"/>
      <c r="C54" s="14"/>
      <c r="D54" s="13"/>
      <c r="E54" s="14"/>
      <c r="F54" s="13"/>
      <c r="G54" s="14"/>
      <c r="H54" s="13"/>
      <c r="I54" s="14"/>
      <c r="J54" s="13"/>
      <c r="K54" s="14"/>
    </row>
    <row r="55" spans="1:11" ht="11.9" customHeight="1">
      <c r="A55" s="12"/>
      <c r="B55" s="13"/>
      <c r="C55" s="14"/>
      <c r="D55" s="13"/>
      <c r="E55" s="14"/>
      <c r="F55" s="13"/>
      <c r="G55" s="14"/>
      <c r="H55" s="13"/>
      <c r="I55" s="14"/>
      <c r="J55" s="13"/>
      <c r="K55" s="14"/>
    </row>
    <row r="56" spans="1:11" ht="11.9" customHeight="1">
      <c r="A56" s="12"/>
      <c r="B56" s="13"/>
      <c r="C56" s="14"/>
      <c r="D56" s="13"/>
      <c r="E56" s="14"/>
      <c r="F56" s="13"/>
      <c r="G56" s="14"/>
      <c r="H56" s="13"/>
      <c r="I56" s="14"/>
      <c r="J56" s="13"/>
      <c r="K56" s="14"/>
    </row>
    <row r="57" spans="1:11" ht="11.9" customHeight="1">
      <c r="A57" s="12"/>
      <c r="B57" s="13"/>
      <c r="C57" s="14"/>
      <c r="D57" s="13"/>
      <c r="E57" s="14"/>
      <c r="F57" s="13"/>
      <c r="G57" s="14"/>
      <c r="H57" s="13"/>
      <c r="I57" s="14"/>
      <c r="J57" s="13"/>
      <c r="K57" s="14"/>
    </row>
    <row r="58" spans="1:11" ht="11.9" customHeight="1">
      <c r="A58" s="12"/>
      <c r="B58" s="13"/>
      <c r="C58" s="14"/>
      <c r="D58" s="13"/>
      <c r="E58" s="14"/>
      <c r="F58" s="13"/>
      <c r="G58" s="14"/>
      <c r="H58" s="13"/>
      <c r="I58" s="14"/>
      <c r="J58" s="13"/>
      <c r="K58" s="14"/>
    </row>
    <row r="59" spans="1:11" ht="11.9" customHeight="1">
      <c r="A59" s="12"/>
      <c r="B59" s="13"/>
      <c r="C59" s="14"/>
      <c r="D59" s="13"/>
      <c r="E59" s="14"/>
      <c r="F59" s="13"/>
      <c r="G59" s="14"/>
      <c r="H59" s="13"/>
      <c r="I59" s="14"/>
      <c r="J59" s="13"/>
      <c r="K59" s="14"/>
    </row>
    <row r="60" spans="1:11" ht="11.9" customHeight="1">
      <c r="A60" s="12"/>
      <c r="B60" s="13"/>
      <c r="C60" s="14"/>
      <c r="D60" s="13"/>
      <c r="E60" s="14"/>
      <c r="F60" s="13"/>
      <c r="G60" s="14"/>
      <c r="H60" s="13"/>
      <c r="I60" s="14"/>
      <c r="J60" s="13"/>
      <c r="K60" s="14"/>
    </row>
    <row r="61" spans="1:11" ht="11.9" customHeight="1">
      <c r="A61" s="12"/>
      <c r="B61" s="13"/>
      <c r="C61" s="14"/>
      <c r="D61" s="13"/>
      <c r="E61" s="14"/>
      <c r="F61" s="13"/>
      <c r="G61" s="14"/>
      <c r="H61" s="13"/>
      <c r="I61" s="14"/>
      <c r="J61" s="13"/>
      <c r="K61" s="14"/>
    </row>
    <row r="62" spans="1:11" ht="11.9" customHeight="1">
      <c r="A62" s="12"/>
      <c r="B62" s="13"/>
      <c r="C62" s="14"/>
      <c r="D62" s="13"/>
      <c r="E62" s="14"/>
      <c r="F62" s="13"/>
      <c r="G62" s="14"/>
      <c r="H62" s="13"/>
      <c r="I62" s="14"/>
      <c r="J62" s="13"/>
      <c r="K62" s="14"/>
    </row>
    <row r="63" spans="1:11" ht="11.9" customHeight="1">
      <c r="A63" s="12"/>
      <c r="B63" s="13"/>
      <c r="C63" s="14"/>
      <c r="D63" s="13"/>
      <c r="E63" s="14"/>
      <c r="F63" s="13"/>
      <c r="G63" s="14"/>
      <c r="H63" s="13"/>
      <c r="I63" s="14"/>
      <c r="J63" s="13"/>
      <c r="K63" s="14"/>
    </row>
    <row r="64" spans="1:11" ht="11.9" customHeight="1">
      <c r="A64" s="12"/>
      <c r="B64" s="13"/>
      <c r="C64" s="14"/>
      <c r="D64" s="13"/>
      <c r="E64" s="14"/>
      <c r="F64" s="13"/>
      <c r="G64" s="14"/>
      <c r="H64" s="13"/>
      <c r="I64" s="14"/>
      <c r="J64" s="13"/>
      <c r="K64" s="14"/>
    </row>
    <row r="65" spans="1:11" ht="11.9" customHeight="1">
      <c r="A65" s="12"/>
      <c r="B65" s="13"/>
      <c r="C65" s="14"/>
      <c r="D65" s="13"/>
      <c r="E65" s="14"/>
      <c r="F65" s="13"/>
      <c r="G65" s="14"/>
      <c r="H65" s="13"/>
      <c r="I65" s="14"/>
      <c r="J65" s="13"/>
      <c r="K65" s="14"/>
    </row>
    <row r="66" spans="1:11" ht="11.9" customHeight="1">
      <c r="A66" s="12"/>
      <c r="B66" s="13"/>
      <c r="C66" s="14"/>
      <c r="D66" s="13"/>
      <c r="E66" s="14"/>
      <c r="F66" s="13"/>
      <c r="G66" s="14"/>
      <c r="H66" s="13"/>
      <c r="I66" s="14"/>
      <c r="J66" s="13"/>
      <c r="K66" s="14"/>
    </row>
    <row r="67" spans="1:11" ht="11.9" customHeight="1">
      <c r="A67" s="12"/>
      <c r="B67" s="13"/>
      <c r="C67" s="14"/>
      <c r="D67" s="13"/>
      <c r="E67" s="14"/>
      <c r="F67" s="13"/>
      <c r="G67" s="14"/>
      <c r="H67" s="13"/>
      <c r="I67" s="14"/>
      <c r="J67" s="13"/>
      <c r="K67" s="14"/>
    </row>
    <row r="68" spans="1:11" ht="11.9" customHeight="1">
      <c r="A68" s="12"/>
      <c r="B68" s="13"/>
      <c r="C68" s="14"/>
      <c r="D68" s="13"/>
      <c r="E68" s="14"/>
      <c r="F68" s="13"/>
      <c r="G68" s="14"/>
      <c r="H68" s="13"/>
      <c r="I68" s="14"/>
      <c r="J68" s="13"/>
      <c r="K68" s="14"/>
    </row>
    <row r="69" spans="1:11" ht="11.9" customHeight="1">
      <c r="A69" s="12"/>
      <c r="B69" s="13"/>
      <c r="C69" s="14"/>
      <c r="D69" s="13"/>
      <c r="E69" s="14"/>
      <c r="F69" s="13"/>
      <c r="G69" s="14"/>
      <c r="H69" s="13"/>
      <c r="I69" s="14"/>
      <c r="J69" s="13"/>
      <c r="K69" s="14"/>
    </row>
    <row r="70" spans="1:11" ht="11.9" customHeight="1">
      <c r="A70" s="12"/>
      <c r="B70" s="13"/>
      <c r="C70" s="14"/>
      <c r="D70" s="13"/>
      <c r="E70" s="14"/>
      <c r="F70" s="13"/>
      <c r="G70" s="14"/>
      <c r="H70" s="13"/>
      <c r="I70" s="14"/>
      <c r="J70" s="13"/>
      <c r="K70" s="14"/>
    </row>
    <row r="71" spans="1:11" ht="11.9" customHeight="1">
      <c r="A71" s="12"/>
      <c r="B71" s="13"/>
      <c r="C71" s="14"/>
      <c r="D71" s="13"/>
      <c r="E71" s="14"/>
      <c r="F71" s="13"/>
      <c r="G71" s="14"/>
      <c r="H71" s="13"/>
      <c r="I71" s="14"/>
      <c r="J71" s="13"/>
      <c r="K71" s="14"/>
    </row>
    <row r="72" spans="1:11" ht="11.9" customHeight="1">
      <c r="A72" s="12"/>
      <c r="B72" s="13"/>
      <c r="C72" s="14"/>
      <c r="D72" s="13"/>
      <c r="E72" s="14"/>
      <c r="F72" s="13"/>
      <c r="G72" s="14"/>
      <c r="H72" s="13"/>
      <c r="I72" s="14"/>
      <c r="J72" s="13"/>
      <c r="K72" s="14"/>
    </row>
    <row r="73" spans="1:11" ht="11.9" customHeight="1"/>
    <row r="74" spans="1:11" ht="11.9" customHeight="1"/>
    <row r="75" spans="1:11" ht="11.9" customHeight="1"/>
    <row r="76" spans="1:11" ht="11.9" customHeight="1"/>
    <row r="77" spans="1:11" ht="11.9" customHeight="1"/>
    <row r="78" spans="1:11" ht="11.9" customHeight="1"/>
    <row r="79" spans="1:11" ht="11.9" customHeight="1"/>
    <row r="80" spans="1:11" ht="11.9" customHeight="1"/>
    <row r="81" ht="11.9" customHeight="1"/>
    <row r="82" ht="11.9" customHeight="1"/>
    <row r="83" ht="11.9" customHeight="1"/>
    <row r="84" ht="11.9" customHeight="1"/>
    <row r="85" ht="11.9" customHeight="1"/>
    <row r="86" ht="11.9" customHeight="1"/>
    <row r="87" ht="11.9" customHeight="1"/>
    <row r="88" ht="11.9" customHeight="1"/>
    <row r="89" ht="11.9" customHeight="1"/>
    <row r="90" ht="11.9" customHeight="1"/>
    <row r="91" ht="11.9" customHeight="1"/>
    <row r="92" ht="11.9" customHeight="1"/>
    <row r="93" ht="11.9" customHeight="1"/>
    <row r="94" ht="11.9" customHeight="1"/>
    <row r="95" ht="11.9" customHeight="1"/>
    <row r="96" ht="11.9" customHeight="1"/>
    <row r="97" ht="11.9" customHeight="1"/>
    <row r="98" ht="11.9" customHeight="1"/>
    <row r="99" ht="11.9" customHeight="1"/>
    <row r="100" ht="11.9" customHeight="1"/>
    <row r="115" spans="1:10">
      <c r="A115" s="10"/>
      <c r="B115" s="11"/>
      <c r="D115" s="11"/>
      <c r="F115" s="11"/>
      <c r="H115" s="11"/>
      <c r="J115" s="11"/>
    </row>
    <row r="116" spans="1:10">
      <c r="A116" s="12"/>
      <c r="B116" s="13"/>
      <c r="D116" s="13"/>
      <c r="F116" s="13"/>
      <c r="H116" s="13"/>
      <c r="J116" s="13"/>
    </row>
    <row r="117" spans="1:10">
      <c r="A117" s="14"/>
      <c r="B117" s="13"/>
      <c r="D117" s="13"/>
      <c r="F117" s="13"/>
      <c r="H117" s="13"/>
      <c r="J117" s="13"/>
    </row>
    <row r="118" spans="1:10">
      <c r="A118" s="14"/>
      <c r="B118" s="13"/>
      <c r="D118" s="13"/>
      <c r="F118" s="13"/>
      <c r="H118" s="13"/>
      <c r="J118" s="13"/>
    </row>
    <row r="119" spans="1:10">
      <c r="A119" s="14"/>
      <c r="B119" s="13"/>
      <c r="D119" s="13"/>
      <c r="F119" s="13"/>
      <c r="H119" s="13"/>
      <c r="J119" s="13"/>
    </row>
    <row r="120" spans="1:10">
      <c r="A120" s="14"/>
      <c r="B120" s="13"/>
      <c r="D120" s="13"/>
      <c r="F120" s="13"/>
      <c r="H120" s="13"/>
      <c r="J120" s="13"/>
    </row>
    <row r="121" spans="1:10">
      <c r="A121" s="14"/>
      <c r="B121" s="13"/>
      <c r="D121" s="13"/>
      <c r="F121" s="13"/>
      <c r="H121" s="13"/>
      <c r="J121" s="13"/>
    </row>
    <row r="122" spans="1:10">
      <c r="A122" s="14"/>
      <c r="B122" s="13"/>
      <c r="D122" s="13"/>
      <c r="F122" s="13"/>
      <c r="H122" s="13"/>
      <c r="J122" s="13"/>
    </row>
    <row r="123" spans="1:10">
      <c r="A123" s="12"/>
      <c r="B123" s="13"/>
      <c r="D123" s="13"/>
      <c r="F123" s="13"/>
      <c r="H123" s="13"/>
      <c r="J123" s="13"/>
    </row>
    <row r="124" spans="1:10">
      <c r="A124" s="12"/>
      <c r="B124" s="13"/>
      <c r="D124" s="13"/>
      <c r="F124" s="13"/>
      <c r="H124" s="13"/>
      <c r="J124" s="13"/>
    </row>
    <row r="125" spans="1:10">
      <c r="A125" s="12"/>
      <c r="B125" s="13"/>
      <c r="D125" s="13"/>
      <c r="F125" s="13"/>
      <c r="H125" s="13"/>
      <c r="J125" s="13"/>
    </row>
    <row r="126" spans="1:10">
      <c r="A126" s="12"/>
      <c r="B126" s="13"/>
      <c r="D126" s="13"/>
      <c r="F126" s="13"/>
      <c r="H126" s="13"/>
      <c r="J126" s="13"/>
    </row>
    <row r="127" spans="1:10">
      <c r="A127" s="12"/>
      <c r="B127" s="13"/>
      <c r="D127" s="13"/>
      <c r="F127" s="13"/>
      <c r="H127" s="13"/>
      <c r="J127" s="13"/>
    </row>
    <row r="128" spans="1:10">
      <c r="A128" s="12"/>
      <c r="B128" s="13"/>
      <c r="D128" s="13"/>
      <c r="F128" s="13"/>
      <c r="H128" s="13"/>
      <c r="J128" s="13"/>
    </row>
    <row r="129" spans="1:10">
      <c r="A129" s="12"/>
      <c r="B129" s="13"/>
      <c r="D129" s="13"/>
      <c r="F129" s="13"/>
      <c r="H129" s="13"/>
      <c r="J129" s="13"/>
    </row>
    <row r="130" spans="1:10">
      <c r="A130" s="14"/>
      <c r="B130" s="13"/>
      <c r="D130" s="13"/>
      <c r="F130" s="13"/>
      <c r="H130" s="13"/>
      <c r="J130" s="13"/>
    </row>
    <row r="131" spans="1:10">
      <c r="A131" s="14"/>
      <c r="B131" s="13"/>
      <c r="D131" s="13"/>
      <c r="F131" s="13"/>
      <c r="H131" s="13"/>
      <c r="J131" s="13"/>
    </row>
  </sheetData>
  <mergeCells count="27">
    <mergeCell ref="A44:A45"/>
    <mergeCell ref="A46:A47"/>
    <mergeCell ref="D4:E4"/>
    <mergeCell ref="F4:G4"/>
    <mergeCell ref="A36:A37"/>
    <mergeCell ref="A38:A39"/>
    <mergeCell ref="A40:A41"/>
    <mergeCell ref="A42:A43"/>
    <mergeCell ref="A28:A29"/>
    <mergeCell ref="A34:A35"/>
    <mergeCell ref="A20:A21"/>
    <mergeCell ref="A22:A23"/>
    <mergeCell ref="A24:A25"/>
    <mergeCell ref="A26:A27"/>
    <mergeCell ref="J4:K4"/>
    <mergeCell ref="A30:A31"/>
    <mergeCell ref="A32:A33"/>
    <mergeCell ref="A10:A11"/>
    <mergeCell ref="A12:A13"/>
    <mergeCell ref="A14:A15"/>
    <mergeCell ref="A16:A17"/>
    <mergeCell ref="B4:C4"/>
    <mergeCell ref="H4:I4"/>
    <mergeCell ref="A6:A7"/>
    <mergeCell ref="A8:A9"/>
    <mergeCell ref="A4:A5"/>
    <mergeCell ref="A18:A19"/>
  </mergeCells>
  <phoneticPr fontId="2"/>
  <printOptions horizontalCentered="1"/>
  <pageMargins left="0.19685039370078741" right="0.19685039370078741" top="0.78740157480314965" bottom="0.59055118110236227" header="0.51181102362204722" footer="0.39370078740157483"/>
  <pageSetup paperSize="9" scale="75" orientation="landscape" horizontalDpi="300" verticalDpi="3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84C7C-9E5A-4E51-8833-F33D6AE3A821}">
  <sheetPr codeName="Sheet19">
    <pageSetUpPr fitToPage="1"/>
  </sheetPr>
  <dimension ref="A1:F93"/>
  <sheetViews>
    <sheetView showGridLines="0" zoomScaleNormal="100" workbookViewId="0"/>
  </sheetViews>
  <sheetFormatPr defaultColWidth="10.296875" defaultRowHeight="11"/>
  <cols>
    <col min="1" max="1" width="34.09765625" style="1" customWidth="1"/>
    <col min="2" max="6" width="23.59765625" style="1" customWidth="1"/>
    <col min="7" max="16384" width="10.296875" style="1"/>
  </cols>
  <sheetData>
    <row r="1" spans="1:6" ht="19">
      <c r="B1" s="2" t="s">
        <v>91</v>
      </c>
    </row>
    <row r="3" spans="1:6" ht="11.5" thickBot="1">
      <c r="F3" s="3" t="s">
        <v>68</v>
      </c>
    </row>
    <row r="4" spans="1:6" ht="12" customHeight="1">
      <c r="A4" s="71" t="s">
        <v>69</v>
      </c>
      <c r="B4" s="78">
        <v>1999</v>
      </c>
      <c r="C4" s="78">
        <v>2000</v>
      </c>
      <c r="D4" s="78">
        <v>2001</v>
      </c>
      <c r="E4" s="78">
        <v>2002</v>
      </c>
      <c r="F4" s="78">
        <v>2003</v>
      </c>
    </row>
    <row r="5" spans="1:6" ht="12" customHeight="1" thickBot="1">
      <c r="A5" s="72"/>
      <c r="B5" s="79"/>
      <c r="C5" s="79"/>
      <c r="D5" s="79"/>
      <c r="E5" s="79"/>
      <c r="F5" s="79"/>
    </row>
    <row r="6" spans="1:6" ht="12" customHeight="1">
      <c r="A6" s="66" t="s">
        <v>92</v>
      </c>
      <c r="B6" s="17"/>
      <c r="C6" s="17"/>
      <c r="D6" s="17"/>
      <c r="E6" s="17"/>
      <c r="F6" s="17"/>
    </row>
    <row r="7" spans="1:6" ht="12" customHeight="1">
      <c r="A7" s="64"/>
      <c r="B7" s="19">
        <v>-83652.789999999994</v>
      </c>
      <c r="C7" s="19">
        <v>-13219.8</v>
      </c>
      <c r="D7" s="19">
        <v>-58054.04</v>
      </c>
      <c r="E7" s="19">
        <v>-53298.2</v>
      </c>
      <c r="F7" s="19">
        <v>-16243.14</v>
      </c>
    </row>
    <row r="8" spans="1:6" ht="12" customHeight="1">
      <c r="A8" s="40"/>
      <c r="B8" s="19"/>
      <c r="C8" s="19"/>
      <c r="D8" s="19"/>
      <c r="E8" s="19"/>
      <c r="F8" s="19"/>
    </row>
    <row r="9" spans="1:6" ht="12" customHeight="1">
      <c r="A9" s="40" t="s">
        <v>93</v>
      </c>
      <c r="B9" s="19">
        <v>-50712.85</v>
      </c>
      <c r="C9" s="19">
        <v>-13171.95</v>
      </c>
      <c r="D9" s="19">
        <v>-24133.83</v>
      </c>
      <c r="E9" s="19">
        <v>-26818.1</v>
      </c>
      <c r="F9" s="19">
        <v>-7491.52</v>
      </c>
    </row>
    <row r="10" spans="1:6" ht="12" customHeight="1">
      <c r="A10" s="7"/>
      <c r="B10" s="19"/>
      <c r="C10" s="19"/>
      <c r="D10" s="19"/>
      <c r="E10" s="19"/>
      <c r="F10" s="19"/>
    </row>
    <row r="11" spans="1:6" ht="12" customHeight="1">
      <c r="A11" s="7" t="s">
        <v>94</v>
      </c>
      <c r="B11" s="19">
        <v>-29703.62</v>
      </c>
      <c r="C11" s="19">
        <v>-7690.15</v>
      </c>
      <c r="D11" s="19">
        <v>-25774.58</v>
      </c>
      <c r="E11" s="19">
        <v>-21812.799999999999</v>
      </c>
      <c r="F11" s="19">
        <v>-6614.68</v>
      </c>
    </row>
    <row r="12" spans="1:6" ht="12" customHeight="1">
      <c r="A12" s="40"/>
      <c r="B12" s="19"/>
      <c r="C12" s="19"/>
      <c r="D12" s="19"/>
      <c r="E12" s="19"/>
      <c r="F12" s="19"/>
    </row>
    <row r="13" spans="1:6" ht="12" customHeight="1">
      <c r="A13" s="40" t="s">
        <v>95</v>
      </c>
      <c r="B13" s="19">
        <v>-3236.32</v>
      </c>
      <c r="C13" s="19">
        <v>7642.3</v>
      </c>
      <c r="D13" s="19">
        <v>-8145.63</v>
      </c>
      <c r="E13" s="19">
        <v>-4667.3</v>
      </c>
      <c r="F13" s="19">
        <v>-2136.94</v>
      </c>
    </row>
    <row r="14" spans="1:6" ht="12" customHeight="1">
      <c r="A14" s="64" t="s">
        <v>96</v>
      </c>
      <c r="B14" s="51"/>
      <c r="C14" s="51"/>
      <c r="D14" s="51"/>
      <c r="E14" s="51"/>
      <c r="F14" s="51"/>
    </row>
    <row r="15" spans="1:6" ht="12" customHeight="1">
      <c r="A15" s="64"/>
      <c r="B15" s="19">
        <v>-23763.87</v>
      </c>
      <c r="C15" s="19">
        <v>6559.7</v>
      </c>
      <c r="D15" s="19">
        <v>-24693.74</v>
      </c>
      <c r="E15" s="19">
        <v>-14641.01</v>
      </c>
      <c r="F15" s="19">
        <v>-4289.72</v>
      </c>
    </row>
    <row r="16" spans="1:6" ht="12" customHeight="1">
      <c r="A16" s="64" t="s">
        <v>97</v>
      </c>
      <c r="B16" s="19"/>
      <c r="C16" s="19"/>
      <c r="D16" s="19"/>
      <c r="E16" s="19"/>
      <c r="F16" s="19"/>
    </row>
    <row r="17" spans="1:6" ht="12" customHeight="1">
      <c r="A17" s="64"/>
      <c r="B17" s="19">
        <v>1888.66</v>
      </c>
      <c r="C17" s="19">
        <v>2694.24</v>
      </c>
      <c r="D17" s="19">
        <v>-931.11</v>
      </c>
      <c r="E17" s="19">
        <v>1878.17</v>
      </c>
      <c r="F17" s="19">
        <v>-210.9</v>
      </c>
    </row>
    <row r="18" spans="1:6" ht="12" customHeight="1">
      <c r="A18" s="64" t="s">
        <v>98</v>
      </c>
      <c r="B18" s="19"/>
      <c r="C18" s="19"/>
      <c r="D18" s="19"/>
      <c r="E18" s="19"/>
      <c r="F18" s="19"/>
    </row>
    <row r="19" spans="1:6" ht="12" customHeight="1">
      <c r="A19" s="64"/>
      <c r="B19" s="19">
        <v>-3023.3</v>
      </c>
      <c r="C19" s="19">
        <v>1075.77</v>
      </c>
      <c r="D19" s="19">
        <v>-1718.26</v>
      </c>
      <c r="E19" s="19">
        <v>-859.04</v>
      </c>
      <c r="F19" s="19">
        <v>1322.51</v>
      </c>
    </row>
    <row r="20" spans="1:6" ht="12" customHeight="1">
      <c r="A20" s="64" t="s">
        <v>99</v>
      </c>
      <c r="B20" s="19"/>
      <c r="C20" s="19"/>
      <c r="D20" s="19"/>
      <c r="E20" s="19"/>
      <c r="F20" s="19"/>
    </row>
    <row r="21" spans="1:6" ht="12" customHeight="1">
      <c r="A21" s="64"/>
      <c r="B21" s="19">
        <v>-4853.68</v>
      </c>
      <c r="C21" s="19">
        <v>7507.56</v>
      </c>
      <c r="D21" s="19">
        <v>-12832.55</v>
      </c>
      <c r="E21" s="19">
        <v>-6779.2</v>
      </c>
      <c r="F21" s="19">
        <v>-1245.27</v>
      </c>
    </row>
    <row r="22" spans="1:6" ht="12" customHeight="1">
      <c r="A22" s="64" t="s">
        <v>100</v>
      </c>
      <c r="B22" s="19"/>
      <c r="C22" s="19"/>
      <c r="D22" s="19"/>
      <c r="E22" s="19"/>
      <c r="F22" s="19"/>
    </row>
    <row r="23" spans="1:6" ht="12" customHeight="1">
      <c r="A23" s="64"/>
      <c r="B23" s="19">
        <v>-916.6</v>
      </c>
      <c r="C23" s="19">
        <v>1193.51</v>
      </c>
      <c r="D23" s="19">
        <v>-778.18</v>
      </c>
      <c r="E23" s="19">
        <v>-513.63</v>
      </c>
      <c r="F23" s="19">
        <v>587.37</v>
      </c>
    </row>
    <row r="24" spans="1:6" ht="12" customHeight="1">
      <c r="A24" s="64" t="s">
        <v>101</v>
      </c>
      <c r="B24" s="19"/>
      <c r="C24" s="19"/>
      <c r="D24" s="19"/>
      <c r="E24" s="19"/>
      <c r="F24" s="19"/>
    </row>
    <row r="25" spans="1:6" ht="12" customHeight="1">
      <c r="A25" s="64"/>
      <c r="B25" s="19">
        <v>-59888.92</v>
      </c>
      <c r="C25" s="19">
        <v>-19779.5</v>
      </c>
      <c r="D25" s="19">
        <v>-33360.300000000003</v>
      </c>
      <c r="E25" s="19">
        <v>-38657.19</v>
      </c>
      <c r="F25" s="19">
        <v>-11953.42</v>
      </c>
    </row>
    <row r="26" spans="1:6" ht="12" customHeight="1">
      <c r="A26" s="64" t="s">
        <v>102</v>
      </c>
      <c r="B26" s="19"/>
      <c r="C26" s="19"/>
      <c r="D26" s="19"/>
      <c r="E26" s="19"/>
      <c r="F26" s="19"/>
    </row>
    <row r="27" spans="1:6" ht="12" customHeight="1">
      <c r="A27" s="64"/>
      <c r="B27" s="19">
        <v>-20157.41</v>
      </c>
      <c r="C27" s="19">
        <v>-11194.52</v>
      </c>
      <c r="D27" s="19">
        <v>-13544.27</v>
      </c>
      <c r="E27" s="19">
        <v>-17620.05</v>
      </c>
      <c r="F27" s="19">
        <v>-8428.75</v>
      </c>
    </row>
    <row r="28" spans="1:6" ht="12" customHeight="1">
      <c r="A28" s="64" t="s">
        <v>103</v>
      </c>
      <c r="B28" s="51"/>
      <c r="C28" s="51"/>
      <c r="D28" s="51"/>
      <c r="E28" s="51"/>
      <c r="F28" s="51"/>
    </row>
    <row r="29" spans="1:6" ht="12" customHeight="1">
      <c r="A29" s="64"/>
      <c r="B29" s="19">
        <v>-8417.09</v>
      </c>
      <c r="C29" s="19">
        <v>1590.44</v>
      </c>
      <c r="D29" s="19">
        <v>-12713.08</v>
      </c>
      <c r="E29" s="19">
        <v>-9982.4699999999993</v>
      </c>
      <c r="F29" s="19">
        <v>986.33</v>
      </c>
    </row>
    <row r="30" spans="1:6" ht="12" customHeight="1">
      <c r="A30" s="64" t="s">
        <v>104</v>
      </c>
      <c r="B30" s="19"/>
      <c r="C30" s="19"/>
      <c r="D30" s="19"/>
      <c r="E30" s="19"/>
      <c r="F30" s="19"/>
    </row>
    <row r="31" spans="1:6" ht="12" customHeight="1" thickBot="1">
      <c r="A31" s="65"/>
      <c r="B31" s="22">
        <v>-28272.9</v>
      </c>
      <c r="C31" s="22">
        <v>-10374.84</v>
      </c>
      <c r="D31" s="22">
        <v>-3854.74</v>
      </c>
      <c r="E31" s="22">
        <v>-7521.24</v>
      </c>
      <c r="F31" s="22">
        <v>-4052.32</v>
      </c>
    </row>
    <row r="32" spans="1:6" ht="12" customHeight="1">
      <c r="A32" s="52"/>
      <c r="B32" s="53"/>
      <c r="C32" s="53"/>
      <c r="D32" s="53"/>
      <c r="E32" s="53"/>
      <c r="F32" s="53"/>
    </row>
    <row r="33" spans="1:6" ht="12" customHeight="1" thickBot="1">
      <c r="A33" s="48" t="s">
        <v>105</v>
      </c>
      <c r="B33" s="54">
        <v>8.3698165297199392</v>
      </c>
      <c r="C33" s="54">
        <v>7.7708284577165498</v>
      </c>
      <c r="D33" s="54">
        <v>7.7637937887311299</v>
      </c>
      <c r="E33" s="54">
        <v>7.5676493105559199</v>
      </c>
      <c r="F33" s="54">
        <v>7.1987778861202001</v>
      </c>
    </row>
    <row r="34" spans="1:6" ht="11.9" customHeight="1">
      <c r="A34" s="12"/>
      <c r="B34" s="13"/>
      <c r="C34" s="13"/>
      <c r="D34" s="13"/>
      <c r="E34" s="13"/>
      <c r="F34" s="13"/>
    </row>
    <row r="35" spans="1:6" ht="11.9" customHeight="1"/>
    <row r="36" spans="1:6" ht="11.9" customHeight="1"/>
    <row r="37" spans="1:6" ht="11.9" customHeight="1"/>
    <row r="38" spans="1:6" ht="11.9" customHeight="1"/>
    <row r="39" spans="1:6" ht="11.9" customHeight="1"/>
    <row r="40" spans="1:6" ht="11.9" customHeight="1"/>
    <row r="41" spans="1:6" ht="11.9" customHeight="1"/>
    <row r="42" spans="1:6" ht="11.9" customHeight="1"/>
    <row r="43" spans="1:6" ht="11.9" customHeight="1"/>
    <row r="44" spans="1:6" ht="11.9" customHeight="1"/>
    <row r="45" spans="1:6" ht="11.9" customHeight="1"/>
    <row r="46" spans="1:6" ht="11.9" customHeight="1"/>
    <row r="47" spans="1:6" ht="11.9" customHeight="1"/>
    <row r="48" spans="1:6" ht="11.9" customHeight="1"/>
    <row r="49" ht="11.9" customHeight="1"/>
    <row r="50" ht="11.9" customHeight="1"/>
    <row r="51" ht="11.9" customHeight="1"/>
    <row r="52" ht="11.9" customHeight="1"/>
    <row r="53" ht="11.9" customHeight="1"/>
    <row r="54" ht="11.9" customHeight="1"/>
    <row r="55" ht="11.9" customHeight="1"/>
    <row r="56" ht="11.9" customHeight="1"/>
    <row r="57" ht="11.9" customHeight="1"/>
    <row r="58" ht="11.9" customHeight="1"/>
    <row r="59" ht="11.9" customHeight="1"/>
    <row r="60" ht="11.9" customHeight="1"/>
    <row r="61" ht="11.9" customHeight="1"/>
    <row r="62" ht="11.9" customHeight="1"/>
    <row r="77" spans="1:6">
      <c r="A77" s="10"/>
      <c r="B77" s="11"/>
      <c r="C77" s="11"/>
      <c r="D77" s="11"/>
      <c r="E77" s="11"/>
      <c r="F77" s="11"/>
    </row>
    <row r="78" spans="1:6">
      <c r="A78" s="12"/>
      <c r="B78" s="13"/>
      <c r="C78" s="13"/>
      <c r="D78" s="13"/>
      <c r="E78" s="13"/>
      <c r="F78" s="13"/>
    </row>
    <row r="79" spans="1:6">
      <c r="A79" s="14"/>
      <c r="B79" s="13"/>
      <c r="C79" s="13"/>
      <c r="D79" s="13"/>
      <c r="E79" s="13"/>
      <c r="F79" s="13"/>
    </row>
    <row r="80" spans="1:6">
      <c r="A80" s="14"/>
      <c r="B80" s="13"/>
      <c r="C80" s="13"/>
      <c r="D80" s="13"/>
      <c r="E80" s="13"/>
      <c r="F80" s="13"/>
    </row>
    <row r="81" spans="1:6">
      <c r="A81" s="14"/>
      <c r="B81" s="13"/>
      <c r="C81" s="13"/>
      <c r="D81" s="13"/>
      <c r="E81" s="13"/>
      <c r="F81" s="13"/>
    </row>
    <row r="82" spans="1:6">
      <c r="A82" s="14"/>
      <c r="B82" s="13"/>
      <c r="C82" s="13"/>
      <c r="D82" s="13"/>
      <c r="E82" s="13"/>
      <c r="F82" s="13"/>
    </row>
    <row r="83" spans="1:6">
      <c r="A83" s="14"/>
      <c r="B83" s="13"/>
      <c r="C83" s="13"/>
      <c r="D83" s="13"/>
      <c r="E83" s="13"/>
      <c r="F83" s="13"/>
    </row>
    <row r="84" spans="1:6">
      <c r="A84" s="14"/>
      <c r="B84" s="13"/>
      <c r="C84" s="13"/>
      <c r="D84" s="13"/>
      <c r="E84" s="13"/>
      <c r="F84" s="13"/>
    </row>
    <row r="85" spans="1:6">
      <c r="A85" s="12"/>
      <c r="B85" s="13"/>
      <c r="C85" s="13"/>
      <c r="D85" s="13"/>
      <c r="E85" s="13"/>
      <c r="F85" s="13"/>
    </row>
    <row r="86" spans="1:6">
      <c r="A86" s="12"/>
      <c r="B86" s="13"/>
      <c r="C86" s="13"/>
      <c r="D86" s="13"/>
      <c r="E86" s="13"/>
      <c r="F86" s="13"/>
    </row>
    <row r="87" spans="1:6">
      <c r="A87" s="12"/>
      <c r="B87" s="13"/>
      <c r="C87" s="13"/>
      <c r="D87" s="13"/>
      <c r="E87" s="13"/>
      <c r="F87" s="13"/>
    </row>
    <row r="88" spans="1:6">
      <c r="A88" s="12"/>
      <c r="B88" s="13"/>
      <c r="C88" s="13"/>
      <c r="D88" s="13"/>
      <c r="E88" s="13"/>
      <c r="F88" s="13"/>
    </row>
    <row r="89" spans="1:6">
      <c r="A89" s="12"/>
      <c r="B89" s="13"/>
      <c r="C89" s="13"/>
      <c r="D89" s="13"/>
      <c r="E89" s="13"/>
      <c r="F89" s="13"/>
    </row>
    <row r="90" spans="1:6">
      <c r="A90" s="12"/>
      <c r="B90" s="13"/>
      <c r="C90" s="13"/>
      <c r="D90" s="13"/>
      <c r="E90" s="13"/>
      <c r="F90" s="13"/>
    </row>
    <row r="91" spans="1:6">
      <c r="A91" s="12"/>
      <c r="B91" s="13"/>
      <c r="C91" s="13"/>
      <c r="D91" s="13"/>
      <c r="E91" s="13"/>
      <c r="F91" s="13"/>
    </row>
    <row r="92" spans="1:6">
      <c r="A92" s="14"/>
      <c r="B92" s="13"/>
      <c r="C92" s="13"/>
      <c r="D92" s="13"/>
      <c r="E92" s="13"/>
      <c r="F92" s="13"/>
    </row>
    <row r="93" spans="1:6">
      <c r="A93" s="14"/>
      <c r="B93" s="13"/>
      <c r="C93" s="13"/>
      <c r="D93" s="13"/>
      <c r="E93" s="13"/>
      <c r="F93" s="13"/>
    </row>
  </sheetData>
  <mergeCells count="16">
    <mergeCell ref="D4:D5"/>
    <mergeCell ref="E4:E5"/>
    <mergeCell ref="F4:F5"/>
    <mergeCell ref="A20:A21"/>
    <mergeCell ref="B4:B5"/>
    <mergeCell ref="A14:A15"/>
    <mergeCell ref="A16:A17"/>
    <mergeCell ref="A18:A19"/>
    <mergeCell ref="A4:A5"/>
    <mergeCell ref="A6:A7"/>
    <mergeCell ref="A30:A31"/>
    <mergeCell ref="A22:A23"/>
    <mergeCell ref="A24:A25"/>
    <mergeCell ref="A26:A27"/>
    <mergeCell ref="A28:A29"/>
    <mergeCell ref="C4:C5"/>
  </mergeCells>
  <phoneticPr fontId="2"/>
  <printOptions horizontalCentered="1"/>
  <pageMargins left="0.19685039370078741" right="0.19685039370078741" top="0.78740157480314965" bottom="0.59055118110236227" header="0.51181102362204722" footer="0.39370078740157483"/>
  <pageSetup paperSize="9" scale="86" orientation="landscape" horizontalDpi="300" verticalDpi="30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5325D-7E9B-4D95-933E-023BCA456475}">
  <sheetPr codeName="Sheet20">
    <pageSetUpPr fitToPage="1"/>
  </sheetPr>
  <dimension ref="A1:K103"/>
  <sheetViews>
    <sheetView showGridLines="0" zoomScaleNormal="100" workbookViewId="0"/>
  </sheetViews>
  <sheetFormatPr defaultColWidth="10.296875" defaultRowHeight="11"/>
  <cols>
    <col min="1" max="1" width="29.09765625" style="1" customWidth="1"/>
    <col min="2" max="2" width="17.8984375" style="1" customWidth="1"/>
    <col min="3" max="3" width="8.69921875" style="1" customWidth="1"/>
    <col min="4" max="4" width="17.8984375" style="1" customWidth="1"/>
    <col min="5" max="5" width="8.69921875" style="1" customWidth="1"/>
    <col min="6" max="6" width="17.8984375" style="1" customWidth="1"/>
    <col min="7" max="7" width="8.69921875" style="1" customWidth="1"/>
    <col min="8" max="8" width="17.8984375" style="1" customWidth="1"/>
    <col min="9" max="9" width="8.69921875" style="1" customWidth="1"/>
    <col min="10" max="10" width="17.8984375" style="1" customWidth="1"/>
    <col min="11" max="11" width="8.69921875" style="1" customWidth="1"/>
    <col min="12" max="16384" width="10.296875" style="1"/>
  </cols>
  <sheetData>
    <row r="1" spans="1:11" ht="19">
      <c r="B1" s="2" t="s">
        <v>106</v>
      </c>
    </row>
    <row r="3" spans="1:11" ht="11.5" thickBot="1">
      <c r="K3" s="3" t="s">
        <v>68</v>
      </c>
    </row>
    <row r="4" spans="1:11" ht="12" customHeight="1" thickBot="1">
      <c r="A4" s="67" t="s">
        <v>69</v>
      </c>
      <c r="B4" s="62">
        <v>1999</v>
      </c>
      <c r="C4" s="62"/>
      <c r="D4" s="62">
        <v>2000</v>
      </c>
      <c r="E4" s="62"/>
      <c r="F4" s="62">
        <v>2001</v>
      </c>
      <c r="G4" s="62"/>
      <c r="H4" s="62">
        <v>2002</v>
      </c>
      <c r="I4" s="62"/>
      <c r="J4" s="62">
        <v>2003</v>
      </c>
      <c r="K4" s="62"/>
    </row>
    <row r="5" spans="1:11" ht="25" customHeight="1" thickBot="1">
      <c r="A5" s="68"/>
      <c r="B5" s="15"/>
      <c r="C5" s="16" t="s">
        <v>107</v>
      </c>
      <c r="D5" s="15"/>
      <c r="E5" s="16" t="s">
        <v>107</v>
      </c>
      <c r="F5" s="15"/>
      <c r="G5" s="16" t="s">
        <v>107</v>
      </c>
      <c r="H5" s="15"/>
      <c r="I5" s="16" t="s">
        <v>107</v>
      </c>
      <c r="J5" s="15"/>
      <c r="K5" s="16" t="s">
        <v>107</v>
      </c>
    </row>
    <row r="6" spans="1:11" ht="12" customHeight="1">
      <c r="A6" s="66" t="s">
        <v>108</v>
      </c>
      <c r="B6" s="17"/>
      <c r="C6" s="55"/>
      <c r="D6" s="17"/>
      <c r="E6" s="55"/>
      <c r="F6" s="17"/>
      <c r="G6" s="55"/>
      <c r="H6" s="17"/>
      <c r="I6" s="55"/>
      <c r="J6" s="17"/>
      <c r="K6" s="55"/>
    </row>
    <row r="7" spans="1:11" ht="12" customHeight="1">
      <c r="A7" s="64"/>
      <c r="B7" s="19">
        <v>2240760.1800000002</v>
      </c>
      <c r="C7" s="56">
        <v>-0.8</v>
      </c>
      <c r="D7" s="19">
        <v>2375700.9500000002</v>
      </c>
      <c r="E7" s="56">
        <v>6</v>
      </c>
      <c r="F7" s="19">
        <v>2161630.79</v>
      </c>
      <c r="G7" s="56">
        <v>-9.0108209957991647</v>
      </c>
      <c r="H7" s="19">
        <v>2053579.89</v>
      </c>
      <c r="I7" s="56">
        <v>-4.9985825747791068</v>
      </c>
      <c r="J7" s="19">
        <v>2066765.49</v>
      </c>
      <c r="K7" s="56">
        <v>0.64207874571658863</v>
      </c>
    </row>
    <row r="8" spans="1:11" ht="12" customHeight="1">
      <c r="A8" s="64" t="s">
        <v>109</v>
      </c>
      <c r="B8" s="19"/>
      <c r="C8" s="56"/>
      <c r="D8" s="19"/>
      <c r="E8" s="56"/>
      <c r="F8" s="19"/>
      <c r="G8" s="56"/>
      <c r="H8" s="19"/>
      <c r="I8" s="56"/>
      <c r="J8" s="19"/>
      <c r="K8" s="56"/>
    </row>
    <row r="9" spans="1:11" ht="12" customHeight="1">
      <c r="A9" s="64"/>
      <c r="B9" s="19">
        <v>1823151.47</v>
      </c>
      <c r="C9" s="56">
        <v>-10.8</v>
      </c>
      <c r="D9" s="19">
        <v>1990596.4</v>
      </c>
      <c r="E9" s="56">
        <v>9.1999999999999993</v>
      </c>
      <c r="F9" s="19">
        <v>1750046.67</v>
      </c>
      <c r="G9" s="56">
        <v>-12.084304482817302</v>
      </c>
      <c r="H9" s="19">
        <v>1697823.7</v>
      </c>
      <c r="I9" s="56">
        <v>-2.9840901328648499</v>
      </c>
      <c r="J9" s="19">
        <v>1735342.58</v>
      </c>
      <c r="K9" s="56">
        <v>2.2098219031811226</v>
      </c>
    </row>
    <row r="10" spans="1:11" ht="12" customHeight="1">
      <c r="A10" s="64" t="s">
        <v>110</v>
      </c>
      <c r="B10" s="19"/>
      <c r="C10" s="20"/>
      <c r="D10" s="19"/>
      <c r="E10" s="20"/>
      <c r="F10" s="19"/>
      <c r="G10" s="20"/>
      <c r="H10" s="19"/>
      <c r="I10" s="20"/>
      <c r="J10" s="19"/>
      <c r="K10" s="20"/>
    </row>
    <row r="11" spans="1:11" ht="12" customHeight="1">
      <c r="A11" s="64"/>
      <c r="B11" s="19">
        <v>2168853.5</v>
      </c>
      <c r="C11" s="20">
        <v>-5.8</v>
      </c>
      <c r="D11" s="19">
        <v>1996048.71</v>
      </c>
      <c r="E11" s="20">
        <v>-8</v>
      </c>
      <c r="F11" s="19">
        <v>1999991.26</v>
      </c>
      <c r="G11" s="20">
        <v>0.129412</v>
      </c>
      <c r="H11" s="19">
        <v>1874462.12</v>
      </c>
      <c r="I11" s="20">
        <v>-6.276484</v>
      </c>
      <c r="J11" s="19">
        <v>1759537.62</v>
      </c>
      <c r="K11" s="20">
        <v>-6.1310650000000004</v>
      </c>
    </row>
    <row r="12" spans="1:11" ht="12" customHeight="1">
      <c r="A12" s="64" t="s">
        <v>111</v>
      </c>
      <c r="B12" s="19"/>
      <c r="C12" s="20"/>
      <c r="D12" s="19"/>
      <c r="E12" s="20"/>
      <c r="F12" s="19"/>
      <c r="G12" s="20"/>
      <c r="H12" s="19"/>
      <c r="I12" s="20"/>
      <c r="J12" s="19"/>
      <c r="K12" s="20"/>
    </row>
    <row r="13" spans="1:11" ht="12" customHeight="1">
      <c r="A13" s="64"/>
      <c r="B13" s="19">
        <v>3020096.27</v>
      </c>
      <c r="C13" s="20">
        <v>-12.8</v>
      </c>
      <c r="D13" s="19">
        <v>2845427.38</v>
      </c>
      <c r="E13" s="20">
        <v>-5.8</v>
      </c>
      <c r="F13" s="19">
        <v>2728934.14</v>
      </c>
      <c r="G13" s="20">
        <v>-4.110995</v>
      </c>
      <c r="H13" s="19">
        <v>2705051.01</v>
      </c>
      <c r="I13" s="20">
        <v>-0.87518200000000002</v>
      </c>
      <c r="J13" s="19">
        <v>2564788.4700000002</v>
      </c>
      <c r="K13" s="20">
        <v>-5.1852090000000004</v>
      </c>
    </row>
    <row r="14" spans="1:11" ht="12" customHeight="1">
      <c r="A14" s="64" t="s">
        <v>112</v>
      </c>
      <c r="B14" s="19"/>
      <c r="C14" s="20"/>
      <c r="D14" s="19"/>
      <c r="E14" s="20"/>
      <c r="F14" s="19"/>
      <c r="G14" s="20"/>
      <c r="H14" s="19"/>
      <c r="I14" s="20"/>
      <c r="J14" s="19"/>
      <c r="K14" s="20"/>
    </row>
    <row r="15" spans="1:11" ht="12" customHeight="1">
      <c r="A15" s="64"/>
      <c r="B15" s="19">
        <v>1346566.7</v>
      </c>
      <c r="C15" s="20">
        <v>0.9</v>
      </c>
      <c r="D15" s="19">
        <v>1415407.34</v>
      </c>
      <c r="E15" s="20">
        <v>5.0999999999999996</v>
      </c>
      <c r="F15" s="19">
        <v>1309302.53</v>
      </c>
      <c r="G15" s="20">
        <v>-7.5184410000000002</v>
      </c>
      <c r="H15" s="19">
        <v>1334888.23</v>
      </c>
      <c r="I15" s="20">
        <v>1.9541470000000001</v>
      </c>
      <c r="J15" s="19">
        <v>1290603.3400000001</v>
      </c>
      <c r="K15" s="20">
        <v>-3.3174980000000001</v>
      </c>
    </row>
    <row r="16" spans="1:11" ht="12" customHeight="1">
      <c r="A16" s="64" t="s">
        <v>113</v>
      </c>
      <c r="B16" s="19"/>
      <c r="C16" s="20"/>
      <c r="D16" s="19"/>
      <c r="E16" s="20"/>
      <c r="F16" s="19"/>
      <c r="G16" s="20"/>
      <c r="H16" s="19"/>
      <c r="I16" s="20"/>
      <c r="J16" s="19"/>
      <c r="K16" s="20"/>
    </row>
    <row r="17" spans="1:11" ht="12" customHeight="1" thickBot="1">
      <c r="A17" s="64"/>
      <c r="B17" s="19">
        <v>314468.32</v>
      </c>
      <c r="C17" s="20">
        <v>-3.6</v>
      </c>
      <c r="D17" s="19">
        <v>192427.1</v>
      </c>
      <c r="E17" s="20">
        <v>-38.799999999999997</v>
      </c>
      <c r="F17" s="19">
        <v>139191.42000000001</v>
      </c>
      <c r="G17" s="20">
        <v>-27.683689000000001</v>
      </c>
      <c r="H17" s="19">
        <v>131424.54999999999</v>
      </c>
      <c r="I17" s="20">
        <v>-5.5799919999999998</v>
      </c>
      <c r="J17" s="19">
        <v>114758.26</v>
      </c>
      <c r="K17" s="20">
        <v>-12.681260999999999</v>
      </c>
    </row>
    <row r="18" spans="1:11" ht="12" customHeight="1">
      <c r="A18" s="66" t="s">
        <v>114</v>
      </c>
      <c r="B18" s="57"/>
      <c r="C18" s="58"/>
      <c r="D18" s="57"/>
      <c r="E18" s="58"/>
      <c r="F18" s="57"/>
      <c r="G18" s="58"/>
      <c r="H18" s="57"/>
      <c r="I18" s="58"/>
      <c r="J18" s="57"/>
      <c r="K18" s="58"/>
    </row>
    <row r="19" spans="1:11" ht="12" customHeight="1" thickBot="1">
      <c r="A19" s="65"/>
      <c r="B19" s="80">
        <v>12.051402</v>
      </c>
      <c r="C19" s="81"/>
      <c r="D19" s="80">
        <v>11.624320000000001</v>
      </c>
      <c r="E19" s="81"/>
      <c r="F19" s="80">
        <v>11.101753</v>
      </c>
      <c r="G19" s="81"/>
      <c r="H19" s="80">
        <v>11.305413</v>
      </c>
      <c r="I19" s="81"/>
      <c r="J19" s="82">
        <v>10.442055999999999</v>
      </c>
      <c r="K19" s="83"/>
    </row>
    <row r="20" spans="1:11" ht="11.9" customHeight="1">
      <c r="A20" s="12"/>
      <c r="B20" s="13"/>
      <c r="C20" s="14"/>
      <c r="D20" s="13"/>
      <c r="E20" s="14"/>
      <c r="F20" s="13"/>
      <c r="G20" s="14"/>
      <c r="H20" s="13"/>
      <c r="I20" s="14"/>
      <c r="J20" s="13"/>
      <c r="K20" s="14"/>
    </row>
    <row r="21" spans="1:11" ht="11.9" customHeight="1">
      <c r="A21" s="12" t="s">
        <v>115</v>
      </c>
      <c r="B21" s="13"/>
      <c r="C21" s="14"/>
      <c r="D21" s="13"/>
      <c r="E21" s="14"/>
      <c r="F21" s="13"/>
      <c r="G21" s="14"/>
      <c r="H21" s="13"/>
      <c r="I21" s="14"/>
      <c r="J21" s="13"/>
      <c r="K21" s="14"/>
    </row>
    <row r="22" spans="1:11" ht="11.9" customHeight="1">
      <c r="A22" s="12" t="s">
        <v>116</v>
      </c>
      <c r="B22" s="13"/>
      <c r="C22" s="14"/>
      <c r="D22" s="13"/>
      <c r="E22" s="14"/>
      <c r="F22" s="13"/>
      <c r="G22" s="14"/>
      <c r="H22" s="13"/>
      <c r="I22" s="14"/>
      <c r="J22" s="13"/>
      <c r="K22" s="14"/>
    </row>
    <row r="23" spans="1:11" ht="11.9" customHeight="1">
      <c r="A23" s="24" t="s">
        <v>117</v>
      </c>
      <c r="B23" s="13"/>
      <c r="C23" s="14"/>
      <c r="D23" s="13"/>
      <c r="E23" s="14"/>
      <c r="F23" s="13"/>
      <c r="G23" s="14"/>
      <c r="H23" s="13"/>
      <c r="I23" s="14"/>
      <c r="J23" s="13"/>
      <c r="K23" s="14"/>
    </row>
    <row r="24" spans="1:11" ht="11.9" customHeight="1">
      <c r="A24" s="12"/>
      <c r="B24" s="13"/>
      <c r="C24" s="14"/>
      <c r="D24" s="13"/>
      <c r="E24" s="14"/>
      <c r="F24" s="13"/>
      <c r="G24" s="14"/>
      <c r="H24" s="13"/>
      <c r="I24" s="14"/>
      <c r="J24" s="13"/>
      <c r="K24" s="14"/>
    </row>
    <row r="25" spans="1:11" ht="11.9" customHeight="1">
      <c r="A25" s="12"/>
      <c r="B25" s="13"/>
      <c r="C25" s="14"/>
      <c r="D25" s="13"/>
      <c r="E25" s="14"/>
      <c r="F25" s="13"/>
      <c r="G25" s="14"/>
      <c r="H25" s="13"/>
      <c r="I25" s="14"/>
      <c r="J25" s="13"/>
      <c r="K25" s="14"/>
    </row>
    <row r="26" spans="1:11" ht="11.9" customHeight="1">
      <c r="A26" s="12"/>
      <c r="B26" s="13"/>
      <c r="C26" s="14"/>
      <c r="D26" s="13"/>
      <c r="E26" s="14"/>
      <c r="F26" s="13"/>
      <c r="G26" s="14"/>
      <c r="H26" s="13"/>
      <c r="I26" s="14"/>
      <c r="J26" s="13"/>
      <c r="K26" s="14"/>
    </row>
    <row r="27" spans="1:11" ht="11.9" customHeight="1">
      <c r="A27" s="12"/>
      <c r="B27" s="13"/>
      <c r="C27" s="14"/>
      <c r="D27" s="13"/>
      <c r="E27" s="14"/>
      <c r="F27" s="13"/>
      <c r="G27" s="14"/>
      <c r="H27" s="13"/>
      <c r="I27" s="14"/>
      <c r="J27" s="13"/>
      <c r="K27" s="14"/>
    </row>
    <row r="28" spans="1:11" ht="11.9" customHeight="1">
      <c r="A28" s="12"/>
      <c r="B28" s="13"/>
      <c r="C28" s="14"/>
      <c r="D28" s="13"/>
      <c r="E28" s="14"/>
      <c r="F28" s="13"/>
      <c r="G28" s="14"/>
      <c r="H28" s="13"/>
      <c r="I28" s="14"/>
      <c r="J28" s="13"/>
      <c r="K28" s="14"/>
    </row>
    <row r="29" spans="1:11" ht="11.9" customHeight="1">
      <c r="A29" s="12"/>
      <c r="B29" s="13"/>
      <c r="C29" s="14"/>
      <c r="D29" s="13"/>
      <c r="E29" s="14"/>
      <c r="F29" s="13"/>
      <c r="G29" s="14"/>
      <c r="H29" s="13"/>
      <c r="I29" s="14"/>
      <c r="J29" s="13"/>
      <c r="K29" s="14"/>
    </row>
    <row r="30" spans="1:11" ht="11.9" customHeight="1">
      <c r="A30" s="12"/>
      <c r="B30" s="13"/>
      <c r="C30" s="14"/>
      <c r="D30" s="13"/>
      <c r="E30" s="14"/>
      <c r="F30" s="13"/>
      <c r="G30" s="14"/>
      <c r="H30" s="13"/>
      <c r="I30" s="14"/>
      <c r="J30" s="13"/>
      <c r="K30" s="14"/>
    </row>
    <row r="31" spans="1:11" ht="11.9" customHeight="1">
      <c r="A31" s="12"/>
      <c r="B31" s="13"/>
      <c r="C31" s="14"/>
      <c r="D31" s="13"/>
      <c r="E31" s="14"/>
      <c r="F31" s="13"/>
      <c r="G31" s="14"/>
      <c r="H31" s="13"/>
      <c r="I31" s="14"/>
      <c r="J31" s="13"/>
      <c r="K31" s="14"/>
    </row>
    <row r="32" spans="1:11" ht="11.9" customHeight="1">
      <c r="A32" s="12"/>
      <c r="B32" s="13"/>
      <c r="C32" s="14"/>
      <c r="D32" s="13"/>
      <c r="E32" s="14"/>
      <c r="F32" s="13"/>
      <c r="G32" s="14"/>
      <c r="H32" s="13"/>
      <c r="I32" s="14"/>
      <c r="J32" s="13"/>
      <c r="K32" s="14"/>
    </row>
    <row r="33" spans="1:11" ht="11.9" customHeight="1">
      <c r="A33" s="12"/>
      <c r="B33" s="13"/>
      <c r="C33" s="14"/>
      <c r="D33" s="13"/>
      <c r="E33" s="14"/>
      <c r="F33" s="13"/>
      <c r="G33" s="14"/>
      <c r="H33" s="13"/>
      <c r="I33" s="14"/>
      <c r="J33" s="13"/>
      <c r="K33" s="14"/>
    </row>
    <row r="34" spans="1:11" ht="11.9" customHeight="1">
      <c r="A34" s="12"/>
      <c r="B34" s="13"/>
      <c r="C34" s="14"/>
      <c r="D34" s="13"/>
      <c r="E34" s="14"/>
      <c r="F34" s="13"/>
      <c r="G34" s="14"/>
      <c r="H34" s="13"/>
      <c r="I34" s="14"/>
      <c r="J34" s="13"/>
      <c r="K34" s="14"/>
    </row>
    <row r="35" spans="1:11" ht="11.9" customHeight="1">
      <c r="A35" s="12"/>
      <c r="B35" s="13"/>
      <c r="C35" s="14"/>
      <c r="D35" s="13"/>
      <c r="E35" s="14"/>
      <c r="F35" s="13"/>
      <c r="G35" s="14"/>
      <c r="H35" s="13"/>
      <c r="I35" s="14"/>
      <c r="J35" s="13"/>
      <c r="K35" s="14"/>
    </row>
    <row r="36" spans="1:11" ht="11.9" customHeight="1">
      <c r="A36" s="12"/>
      <c r="B36" s="13"/>
      <c r="C36" s="14"/>
      <c r="D36" s="13"/>
      <c r="E36" s="14"/>
      <c r="F36" s="13"/>
      <c r="G36" s="14"/>
      <c r="H36" s="13"/>
      <c r="I36" s="14"/>
      <c r="J36" s="13"/>
      <c r="K36" s="14"/>
    </row>
    <row r="37" spans="1:11" ht="11.9" customHeight="1">
      <c r="A37" s="12"/>
      <c r="B37" s="13"/>
      <c r="C37" s="14"/>
      <c r="D37" s="13"/>
      <c r="E37" s="14"/>
      <c r="F37" s="13"/>
      <c r="G37" s="14"/>
      <c r="H37" s="13"/>
      <c r="I37" s="14"/>
      <c r="J37" s="13"/>
      <c r="K37" s="14"/>
    </row>
    <row r="38" spans="1:11" ht="11.9" customHeight="1">
      <c r="A38" s="12"/>
      <c r="B38" s="13"/>
      <c r="C38" s="14"/>
      <c r="D38" s="13"/>
      <c r="E38" s="14"/>
      <c r="F38" s="13"/>
      <c r="G38" s="14"/>
      <c r="H38" s="13"/>
      <c r="I38" s="14"/>
      <c r="J38" s="13"/>
      <c r="K38" s="14"/>
    </row>
    <row r="39" spans="1:11" ht="11.9" customHeight="1">
      <c r="A39" s="12"/>
      <c r="B39" s="13"/>
      <c r="C39" s="14"/>
      <c r="D39" s="13"/>
      <c r="E39" s="14"/>
      <c r="F39" s="13"/>
      <c r="G39" s="14"/>
      <c r="H39" s="13"/>
      <c r="I39" s="14"/>
      <c r="J39" s="13"/>
      <c r="K39" s="14"/>
    </row>
    <row r="40" spans="1:11" ht="11.9" customHeight="1">
      <c r="A40" s="12"/>
      <c r="B40" s="13"/>
      <c r="C40" s="14"/>
      <c r="D40" s="13"/>
      <c r="E40" s="14"/>
      <c r="F40" s="13"/>
      <c r="G40" s="14"/>
      <c r="H40" s="13"/>
      <c r="I40" s="14"/>
      <c r="J40" s="13"/>
      <c r="K40" s="14"/>
    </row>
    <row r="41" spans="1:11" ht="11.9" customHeight="1">
      <c r="A41" s="12"/>
      <c r="B41" s="13"/>
      <c r="C41" s="14"/>
      <c r="D41" s="13"/>
      <c r="E41" s="14"/>
      <c r="F41" s="13"/>
      <c r="G41" s="14"/>
      <c r="H41" s="13"/>
      <c r="I41" s="14"/>
      <c r="J41" s="13"/>
      <c r="K41" s="14"/>
    </row>
    <row r="42" spans="1:11" ht="11.9" customHeight="1">
      <c r="A42" s="12"/>
      <c r="B42" s="13"/>
      <c r="C42" s="14"/>
      <c r="D42" s="13"/>
      <c r="E42" s="14"/>
      <c r="F42" s="13"/>
      <c r="G42" s="14"/>
      <c r="H42" s="13"/>
      <c r="I42" s="14"/>
      <c r="J42" s="13"/>
      <c r="K42" s="14"/>
    </row>
    <row r="43" spans="1:11" ht="11.9" customHeight="1">
      <c r="A43" s="12"/>
      <c r="B43" s="13"/>
      <c r="C43" s="14"/>
      <c r="D43" s="13"/>
      <c r="E43" s="14"/>
      <c r="F43" s="13"/>
      <c r="G43" s="14"/>
      <c r="H43" s="13"/>
      <c r="I43" s="14"/>
      <c r="J43" s="13"/>
      <c r="K43" s="14"/>
    </row>
    <row r="44" spans="1:11" ht="11.9" customHeight="1">
      <c r="A44" s="12"/>
      <c r="B44" s="13"/>
      <c r="C44" s="14"/>
      <c r="D44" s="13"/>
      <c r="E44" s="14"/>
      <c r="F44" s="13"/>
      <c r="G44" s="14"/>
      <c r="H44" s="13"/>
      <c r="I44" s="14"/>
      <c r="J44" s="13"/>
      <c r="K44" s="14"/>
    </row>
    <row r="45" spans="1:11" ht="11.9" customHeight="1"/>
    <row r="46" spans="1:11" ht="11.9" customHeight="1"/>
    <row r="47" spans="1:11" ht="11.9" customHeight="1"/>
    <row r="48" spans="1:11" ht="11.9" customHeight="1"/>
    <row r="49" ht="11.9" customHeight="1"/>
    <row r="50" ht="11.9" customHeight="1"/>
    <row r="51" ht="11.9" customHeight="1"/>
    <row r="52" ht="11.9" customHeight="1"/>
    <row r="53" ht="11.9" customHeight="1"/>
    <row r="54" ht="11.9" customHeight="1"/>
    <row r="55" ht="11.9" customHeight="1"/>
    <row r="56" ht="11.9" customHeight="1"/>
    <row r="57" ht="11.9" customHeight="1"/>
    <row r="58" ht="11.9" customHeight="1"/>
    <row r="59" ht="11.9" customHeight="1"/>
    <row r="60" ht="11.9" customHeight="1"/>
    <row r="61" ht="11.9" customHeight="1"/>
    <row r="62" ht="11.9" customHeight="1"/>
    <row r="63" ht="11.9" customHeight="1"/>
    <row r="64" ht="11.9" customHeight="1"/>
    <row r="65" ht="11.9" customHeight="1"/>
    <row r="66" ht="11.9" customHeight="1"/>
    <row r="67" ht="11.9" customHeight="1"/>
    <row r="68" ht="11.9" customHeight="1"/>
    <row r="69" ht="11.9" customHeight="1"/>
    <row r="70" ht="11.9" customHeight="1"/>
    <row r="71" ht="11.9" customHeight="1"/>
    <row r="72" ht="11.9" customHeight="1"/>
    <row r="87" spans="1:10">
      <c r="A87" s="10"/>
      <c r="B87" s="11"/>
      <c r="D87" s="11"/>
      <c r="F87" s="11"/>
      <c r="H87" s="11"/>
      <c r="J87" s="11"/>
    </row>
    <row r="88" spans="1:10">
      <c r="A88" s="12"/>
      <c r="B88" s="13"/>
      <c r="D88" s="13"/>
      <c r="F88" s="13"/>
      <c r="H88" s="13"/>
      <c r="J88" s="13"/>
    </row>
    <row r="89" spans="1:10">
      <c r="A89" s="14"/>
      <c r="B89" s="13"/>
      <c r="D89" s="13"/>
      <c r="F89" s="13"/>
      <c r="H89" s="13"/>
      <c r="J89" s="13"/>
    </row>
    <row r="90" spans="1:10">
      <c r="A90" s="14"/>
      <c r="B90" s="13"/>
      <c r="D90" s="13"/>
      <c r="F90" s="13"/>
      <c r="H90" s="13"/>
      <c r="J90" s="13"/>
    </row>
    <row r="91" spans="1:10">
      <c r="A91" s="14"/>
      <c r="B91" s="13"/>
      <c r="D91" s="13"/>
      <c r="F91" s="13"/>
      <c r="H91" s="13"/>
      <c r="J91" s="13"/>
    </row>
    <row r="92" spans="1:10">
      <c r="A92" s="14"/>
      <c r="B92" s="13"/>
      <c r="D92" s="13"/>
      <c r="F92" s="13"/>
      <c r="H92" s="13"/>
      <c r="J92" s="13"/>
    </row>
    <row r="93" spans="1:10">
      <c r="A93" s="14"/>
      <c r="B93" s="13"/>
      <c r="D93" s="13"/>
      <c r="F93" s="13"/>
      <c r="H93" s="13"/>
      <c r="J93" s="13"/>
    </row>
    <row r="94" spans="1:10">
      <c r="A94" s="14"/>
      <c r="B94" s="13"/>
      <c r="D94" s="13"/>
      <c r="F94" s="13"/>
      <c r="H94" s="13"/>
      <c r="J94" s="13"/>
    </row>
    <row r="95" spans="1:10">
      <c r="A95" s="12"/>
      <c r="B95" s="13"/>
      <c r="D95" s="13"/>
      <c r="F95" s="13"/>
      <c r="H95" s="13"/>
      <c r="J95" s="13"/>
    </row>
    <row r="96" spans="1:10">
      <c r="A96" s="12"/>
      <c r="B96" s="13"/>
      <c r="D96" s="13"/>
      <c r="F96" s="13"/>
      <c r="H96" s="13"/>
      <c r="J96" s="13"/>
    </row>
    <row r="97" spans="1:10">
      <c r="A97" s="12"/>
      <c r="B97" s="13"/>
      <c r="D97" s="13"/>
      <c r="F97" s="13"/>
      <c r="H97" s="13"/>
      <c r="J97" s="13"/>
    </row>
    <row r="98" spans="1:10">
      <c r="A98" s="12"/>
      <c r="B98" s="13"/>
      <c r="D98" s="13"/>
      <c r="F98" s="13"/>
      <c r="H98" s="13"/>
      <c r="J98" s="13"/>
    </row>
    <row r="99" spans="1:10">
      <c r="A99" s="12"/>
      <c r="B99" s="13"/>
      <c r="D99" s="13"/>
      <c r="F99" s="13"/>
      <c r="H99" s="13"/>
      <c r="J99" s="13"/>
    </row>
    <row r="100" spans="1:10">
      <c r="A100" s="12"/>
      <c r="B100" s="13"/>
      <c r="D100" s="13"/>
      <c r="F100" s="13"/>
      <c r="H100" s="13"/>
      <c r="J100" s="13"/>
    </row>
    <row r="101" spans="1:10">
      <c r="A101" s="12"/>
      <c r="B101" s="13"/>
      <c r="D101" s="13"/>
      <c r="F101" s="13"/>
      <c r="H101" s="13"/>
      <c r="J101" s="13"/>
    </row>
    <row r="102" spans="1:10">
      <c r="A102" s="14"/>
      <c r="B102" s="13"/>
      <c r="D102" s="13"/>
      <c r="F102" s="13"/>
      <c r="H102" s="13"/>
      <c r="J102" s="13"/>
    </row>
    <row r="103" spans="1:10">
      <c r="A103" s="14"/>
      <c r="B103" s="13"/>
      <c r="D103" s="13"/>
      <c r="F103" s="13"/>
      <c r="H103" s="13"/>
      <c r="J103" s="13"/>
    </row>
  </sheetData>
  <mergeCells count="18">
    <mergeCell ref="A4:A5"/>
    <mergeCell ref="J4:K4"/>
    <mergeCell ref="D4:E4"/>
    <mergeCell ref="F4:G4"/>
    <mergeCell ref="H4:I4"/>
    <mergeCell ref="B4:C4"/>
    <mergeCell ref="A10:A11"/>
    <mergeCell ref="A12:A13"/>
    <mergeCell ref="A14:A15"/>
    <mergeCell ref="A16:A17"/>
    <mergeCell ref="A6:A7"/>
    <mergeCell ref="A8:A9"/>
    <mergeCell ref="H19:I19"/>
    <mergeCell ref="J19:K19"/>
    <mergeCell ref="B19:C19"/>
    <mergeCell ref="D19:E19"/>
    <mergeCell ref="F19:G19"/>
    <mergeCell ref="A18:A19"/>
  </mergeCells>
  <phoneticPr fontId="2"/>
  <printOptions horizontalCentered="1"/>
  <pageMargins left="0.19685039370078741" right="0.19685039370078741" top="0.78740157480314965" bottom="0.59055118110236227" header="0.51181102362204722" footer="0.39370078740157483"/>
  <pageSetup paperSize="9" scale="82" orientation="landscape" horizontalDpi="300" verticalDpi="3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D06C7-63D5-4097-956C-4868D6FA15A2}">
  <sheetPr codeName="Sheet21">
    <pageSetUpPr fitToPage="1"/>
  </sheetPr>
  <dimension ref="A1:K109"/>
  <sheetViews>
    <sheetView showGridLines="0" zoomScaleNormal="100" workbookViewId="0"/>
  </sheetViews>
  <sheetFormatPr defaultColWidth="10.296875" defaultRowHeight="11"/>
  <cols>
    <col min="1" max="1" width="28.296875" style="1" customWidth="1"/>
    <col min="2" max="2" width="17.8984375" style="1" customWidth="1"/>
    <col min="3" max="3" width="8.69921875" style="1" customWidth="1"/>
    <col min="4" max="4" width="17.8984375" style="1" customWidth="1"/>
    <col min="5" max="5" width="8.69921875" style="1" customWidth="1"/>
    <col min="6" max="6" width="17.8984375" style="1" customWidth="1"/>
    <col min="7" max="7" width="8.69921875" style="1" customWidth="1"/>
    <col min="8" max="8" width="17.8984375" style="1" customWidth="1"/>
    <col min="9" max="9" width="8.69921875" style="1" customWidth="1"/>
    <col min="10" max="10" width="17.8984375" style="1" customWidth="1"/>
    <col min="11" max="11" width="8.69921875" style="1" customWidth="1"/>
    <col min="12" max="16384" width="10.296875" style="1"/>
  </cols>
  <sheetData>
    <row r="1" spans="1:11" ht="19">
      <c r="B1" s="2" t="s">
        <v>118</v>
      </c>
    </row>
    <row r="3" spans="1:11" ht="11.5" thickBot="1">
      <c r="K3" s="3" t="s">
        <v>119</v>
      </c>
    </row>
    <row r="4" spans="1:11" ht="12" customHeight="1" thickBot="1">
      <c r="A4" s="67" t="s">
        <v>120</v>
      </c>
      <c r="B4" s="62">
        <v>1999</v>
      </c>
      <c r="C4" s="62"/>
      <c r="D4" s="62">
        <v>2000</v>
      </c>
      <c r="E4" s="63"/>
      <c r="F4" s="62">
        <v>2001</v>
      </c>
      <c r="G4" s="63"/>
      <c r="H4" s="62">
        <v>2002</v>
      </c>
      <c r="I4" s="63"/>
      <c r="J4" s="62">
        <v>2003</v>
      </c>
      <c r="K4" s="63"/>
    </row>
    <row r="5" spans="1:11" ht="25" customHeight="1" thickBot="1">
      <c r="A5" s="68"/>
      <c r="B5" s="15"/>
      <c r="C5" s="16" t="s">
        <v>47</v>
      </c>
      <c r="D5" s="15"/>
      <c r="E5" s="16" t="s">
        <v>47</v>
      </c>
      <c r="F5" s="15"/>
      <c r="G5" s="16" t="s">
        <v>47</v>
      </c>
      <c r="H5" s="15"/>
      <c r="I5" s="16" t="s">
        <v>47</v>
      </c>
      <c r="J5" s="15"/>
      <c r="K5" s="16" t="s">
        <v>47</v>
      </c>
    </row>
    <row r="6" spans="1:11" ht="12" customHeight="1">
      <c r="A6" s="66" t="s">
        <v>121</v>
      </c>
      <c r="B6" s="17"/>
      <c r="C6" s="59"/>
      <c r="D6" s="17"/>
      <c r="E6" s="59"/>
      <c r="F6" s="17"/>
      <c r="G6" s="59"/>
      <c r="H6" s="17"/>
      <c r="I6" s="59"/>
      <c r="J6" s="17"/>
      <c r="K6" s="59"/>
    </row>
    <row r="7" spans="1:11" ht="12" customHeight="1">
      <c r="A7" s="64"/>
      <c r="B7" s="19">
        <v>453169</v>
      </c>
      <c r="C7" s="60">
        <f>IF(B7="", "", IF(B7&lt;=0, "*", 100))</f>
        <v>100</v>
      </c>
      <c r="D7" s="19">
        <v>571927</v>
      </c>
      <c r="E7" s="60">
        <f>IF(D7="", "", IF(D7&lt;=0, "*", 100))</f>
        <v>100</v>
      </c>
      <c r="F7" s="19">
        <v>331737</v>
      </c>
      <c r="G7" s="60">
        <f>IF(F7="", "", IF(F7&lt;=0, "*", 100))</f>
        <v>100</v>
      </c>
      <c r="H7" s="19">
        <v>177127</v>
      </c>
      <c r="I7" s="60">
        <f>IF(H7="", "", IF(H7&lt;=0, "*", 100))</f>
        <v>100</v>
      </c>
      <c r="J7" s="19">
        <v>459989</v>
      </c>
      <c r="K7" s="60">
        <f>IF(J7="", "", IF(J7&lt;=0, "*", 100))</f>
        <v>100</v>
      </c>
    </row>
    <row r="8" spans="1:11" ht="12" customHeight="1">
      <c r="A8" s="64" t="s">
        <v>122</v>
      </c>
      <c r="B8" s="19"/>
      <c r="C8" s="60"/>
      <c r="D8" s="19"/>
      <c r="E8" s="60"/>
      <c r="F8" s="19"/>
      <c r="G8" s="60"/>
      <c r="H8" s="19"/>
      <c r="I8" s="60"/>
      <c r="J8" s="19"/>
      <c r="K8" s="60"/>
    </row>
    <row r="9" spans="1:11" ht="12" customHeight="1">
      <c r="A9" s="64"/>
      <c r="B9" s="19">
        <v>-97943.18</v>
      </c>
      <c r="C9" s="60">
        <v>-21.6</v>
      </c>
      <c r="D9" s="19">
        <v>-105162.87</v>
      </c>
      <c r="E9" s="60">
        <v>-18.399999999999999</v>
      </c>
      <c r="F9" s="19">
        <v>-67492.929999999993</v>
      </c>
      <c r="G9" s="60">
        <v>-20.3</v>
      </c>
      <c r="H9" s="19">
        <v>-235476.57</v>
      </c>
      <c r="I9" s="60">
        <v>-132.9</v>
      </c>
      <c r="J9" s="19">
        <v>-260078.98</v>
      </c>
      <c r="K9" s="60">
        <v>-56.5</v>
      </c>
    </row>
    <row r="10" spans="1:11" ht="12" customHeight="1">
      <c r="A10" s="64" t="s">
        <v>123</v>
      </c>
      <c r="B10" s="19"/>
      <c r="C10" s="60"/>
      <c r="D10" s="19"/>
      <c r="E10" s="60"/>
      <c r="F10" s="19"/>
      <c r="G10" s="60"/>
      <c r="H10" s="19"/>
      <c r="I10" s="60"/>
      <c r="J10" s="19"/>
      <c r="K10" s="60"/>
    </row>
    <row r="11" spans="1:11" ht="12" customHeight="1">
      <c r="A11" s="64"/>
      <c r="B11" s="19">
        <v>27629.119999999999</v>
      </c>
      <c r="C11" s="60">
        <v>6.1</v>
      </c>
      <c r="D11" s="19">
        <v>44637.16</v>
      </c>
      <c r="E11" s="60">
        <v>7.8</v>
      </c>
      <c r="F11" s="19">
        <v>-641.99</v>
      </c>
      <c r="G11" s="60">
        <f>IF(F7="","", IF(F7&lt;=0,"*",F11*100/F7))</f>
        <v>-0.19352378540832044</v>
      </c>
      <c r="H11" s="19">
        <v>-42755.02</v>
      </c>
      <c r="I11" s="60">
        <v>-24.1</v>
      </c>
      <c r="J11" s="19">
        <v>-80305.22</v>
      </c>
      <c r="K11" s="60">
        <v>-17.5</v>
      </c>
    </row>
    <row r="12" spans="1:11" ht="12" customHeight="1">
      <c r="A12" s="64" t="s">
        <v>124</v>
      </c>
      <c r="B12" s="19"/>
      <c r="C12" s="60"/>
      <c r="D12" s="19"/>
      <c r="E12" s="60"/>
      <c r="F12" s="19"/>
      <c r="G12" s="60"/>
      <c r="H12" s="19"/>
      <c r="I12" s="60"/>
      <c r="J12" s="19"/>
      <c r="K12" s="60"/>
    </row>
    <row r="13" spans="1:11" ht="12" customHeight="1">
      <c r="A13" s="64"/>
      <c r="B13" s="19">
        <v>-11337.02</v>
      </c>
      <c r="C13" s="60">
        <v>-2.5</v>
      </c>
      <c r="D13" s="19">
        <v>-33973.56</v>
      </c>
      <c r="E13" s="60">
        <v>-5.9</v>
      </c>
      <c r="F13" s="19">
        <v>-22520.61</v>
      </c>
      <c r="G13" s="60">
        <v>-6.8</v>
      </c>
      <c r="H13" s="19">
        <v>-18296.849999999999</v>
      </c>
      <c r="I13" s="60">
        <v>-10.3</v>
      </c>
      <c r="J13" s="19">
        <v>399.44</v>
      </c>
      <c r="K13" s="60">
        <f>IF(J7="","", IF(J7&lt;=0,"*",J13*100/J7))</f>
        <v>8.683685914228384E-2</v>
      </c>
    </row>
    <row r="14" spans="1:11" ht="12" customHeight="1">
      <c r="A14" s="64" t="s">
        <v>125</v>
      </c>
      <c r="B14" s="19"/>
      <c r="C14" s="60"/>
      <c r="D14" s="19"/>
      <c r="E14" s="60"/>
      <c r="F14" s="19"/>
      <c r="G14" s="60"/>
      <c r="H14" s="19"/>
      <c r="I14" s="60"/>
      <c r="J14" s="19"/>
      <c r="K14" s="60"/>
    </row>
    <row r="15" spans="1:11" ht="12" customHeight="1">
      <c r="A15" s="64"/>
      <c r="B15" s="19">
        <v>-27142.92</v>
      </c>
      <c r="C15" s="60">
        <v>-6</v>
      </c>
      <c r="D15" s="19">
        <v>-113093.2</v>
      </c>
      <c r="E15" s="60">
        <v>-19.8</v>
      </c>
      <c r="F15" s="19">
        <v>-36993.480000000003</v>
      </c>
      <c r="G15" s="60">
        <v>-11.2</v>
      </c>
      <c r="H15" s="19">
        <v>-106676</v>
      </c>
      <c r="I15" s="60">
        <v>-60.2</v>
      </c>
      <c r="J15" s="19">
        <v>-40803.440000000002</v>
      </c>
      <c r="K15" s="60">
        <v>-8.9</v>
      </c>
    </row>
    <row r="16" spans="1:11" ht="12" customHeight="1">
      <c r="A16" s="64" t="s">
        <v>126</v>
      </c>
      <c r="B16" s="19"/>
      <c r="C16" s="60"/>
      <c r="D16" s="19"/>
      <c r="E16" s="60"/>
      <c r="F16" s="19"/>
      <c r="G16" s="60"/>
      <c r="H16" s="19"/>
      <c r="I16" s="60"/>
      <c r="J16" s="19"/>
      <c r="K16" s="60"/>
    </row>
    <row r="17" spans="1:11" ht="12" customHeight="1">
      <c r="A17" s="64"/>
      <c r="B17" s="19">
        <v>-87092.36</v>
      </c>
      <c r="C17" s="60">
        <v>-19.2</v>
      </c>
      <c r="D17" s="19">
        <v>-2733.27</v>
      </c>
      <c r="E17" s="60">
        <v>-0.5</v>
      </c>
      <c r="F17" s="19">
        <v>-7336.85</v>
      </c>
      <c r="G17" s="60">
        <v>-2.2000000000000002</v>
      </c>
      <c r="H17" s="19">
        <v>-67748.87</v>
      </c>
      <c r="I17" s="60">
        <v>-38.299999999999997</v>
      </c>
      <c r="J17" s="19">
        <v>-139369.76</v>
      </c>
      <c r="K17" s="60">
        <v>-30.3</v>
      </c>
    </row>
    <row r="18" spans="1:11" ht="12" customHeight="1">
      <c r="A18" s="64" t="s">
        <v>127</v>
      </c>
      <c r="B18" s="19"/>
      <c r="C18" s="60"/>
      <c r="D18" s="19"/>
      <c r="E18" s="60"/>
      <c r="F18" s="19"/>
      <c r="G18" s="60"/>
      <c r="H18" s="19"/>
      <c r="I18" s="60"/>
      <c r="J18" s="19"/>
      <c r="K18" s="60"/>
    </row>
    <row r="19" spans="1:11" ht="12" customHeight="1">
      <c r="A19" s="64"/>
      <c r="B19" s="19">
        <v>551112</v>
      </c>
      <c r="C19" s="60">
        <v>121.6</v>
      </c>
      <c r="D19" s="19">
        <v>677090</v>
      </c>
      <c r="E19" s="60">
        <v>118.4</v>
      </c>
      <c r="F19" s="19">
        <v>399230</v>
      </c>
      <c r="G19" s="60">
        <v>120.3</v>
      </c>
      <c r="H19" s="19">
        <v>412604</v>
      </c>
      <c r="I19" s="60">
        <v>232.9</v>
      </c>
      <c r="J19" s="19">
        <v>720068</v>
      </c>
      <c r="K19" s="60">
        <v>156.5</v>
      </c>
    </row>
    <row r="20" spans="1:11" ht="12" customHeight="1">
      <c r="A20" s="64" t="s">
        <v>128</v>
      </c>
      <c r="B20" s="19"/>
      <c r="C20" s="60"/>
      <c r="D20" s="19"/>
      <c r="E20" s="60"/>
      <c r="F20" s="19"/>
      <c r="G20" s="60"/>
      <c r="H20" s="19"/>
      <c r="I20" s="60"/>
      <c r="J20" s="19"/>
      <c r="K20" s="60"/>
    </row>
    <row r="21" spans="1:11" ht="12" customHeight="1">
      <c r="A21" s="64"/>
      <c r="B21" s="19">
        <v>149184</v>
      </c>
      <c r="C21" s="60">
        <v>32.9</v>
      </c>
      <c r="D21" s="19">
        <v>260501</v>
      </c>
      <c r="E21" s="60">
        <v>45.6</v>
      </c>
      <c r="F21" s="19">
        <v>-7452</v>
      </c>
      <c r="G21" s="60">
        <v>-2.2000000000000002</v>
      </c>
      <c r="H21" s="19">
        <v>22404</v>
      </c>
      <c r="I21" s="60">
        <v>12.6</v>
      </c>
      <c r="J21" s="19">
        <v>291999</v>
      </c>
      <c r="K21" s="60">
        <v>63.5</v>
      </c>
    </row>
    <row r="22" spans="1:11" ht="12" customHeight="1">
      <c r="A22" s="64" t="s">
        <v>129</v>
      </c>
      <c r="B22" s="19"/>
      <c r="C22" s="60"/>
      <c r="D22" s="19"/>
      <c r="E22" s="60"/>
      <c r="F22" s="19"/>
      <c r="G22" s="60"/>
      <c r="H22" s="19"/>
      <c r="I22" s="60"/>
      <c r="J22" s="19"/>
      <c r="K22" s="60"/>
    </row>
    <row r="23" spans="1:11" ht="12" customHeight="1" thickBot="1">
      <c r="A23" s="65"/>
      <c r="B23" s="22">
        <v>401928</v>
      </c>
      <c r="C23" s="61">
        <v>88.7</v>
      </c>
      <c r="D23" s="22">
        <v>416589</v>
      </c>
      <c r="E23" s="61">
        <v>72.8</v>
      </c>
      <c r="F23" s="22">
        <v>406681.92</v>
      </c>
      <c r="G23" s="61">
        <v>122.6</v>
      </c>
      <c r="H23" s="22">
        <v>390200.11</v>
      </c>
      <c r="I23" s="61">
        <v>220.3</v>
      </c>
      <c r="J23" s="22">
        <v>428069.42</v>
      </c>
      <c r="K23" s="61">
        <v>93.1</v>
      </c>
    </row>
    <row r="24" spans="1:11" ht="11.9" customHeight="1">
      <c r="A24" s="12"/>
      <c r="B24" s="13"/>
      <c r="C24" s="14"/>
      <c r="D24" s="13"/>
      <c r="E24" s="14"/>
      <c r="F24" s="13"/>
      <c r="G24" s="14"/>
      <c r="H24" s="13"/>
      <c r="I24" s="14"/>
      <c r="J24" s="13"/>
      <c r="K24" s="14"/>
    </row>
    <row r="25" spans="1:11" ht="11.9" customHeight="1">
      <c r="A25" s="12"/>
      <c r="B25" s="13"/>
      <c r="C25" s="14"/>
      <c r="D25" s="13"/>
      <c r="E25" s="14"/>
      <c r="F25" s="13"/>
      <c r="G25" s="14"/>
      <c r="H25" s="13"/>
      <c r="I25" s="14"/>
      <c r="J25" s="13"/>
      <c r="K25" s="14"/>
    </row>
    <row r="26" spans="1:11" ht="11.9" customHeight="1">
      <c r="A26" s="12"/>
      <c r="B26" s="13"/>
      <c r="C26" s="14"/>
      <c r="D26" s="13"/>
      <c r="E26" s="14"/>
      <c r="F26" s="13"/>
      <c r="G26" s="14"/>
      <c r="H26" s="13"/>
      <c r="I26" s="14"/>
      <c r="J26" s="13"/>
      <c r="K26" s="14"/>
    </row>
    <row r="27" spans="1:11" ht="11.9" customHeight="1">
      <c r="A27" s="12"/>
      <c r="B27" s="13"/>
      <c r="C27" s="14"/>
      <c r="D27" s="13"/>
      <c r="E27" s="14"/>
      <c r="F27" s="13"/>
      <c r="G27" s="14"/>
      <c r="H27" s="13"/>
      <c r="I27" s="14"/>
      <c r="J27" s="13"/>
      <c r="K27" s="14"/>
    </row>
    <row r="28" spans="1:11" ht="11.9" customHeight="1">
      <c r="A28" s="12"/>
      <c r="B28" s="13"/>
      <c r="C28" s="14"/>
      <c r="D28" s="13"/>
      <c r="E28" s="14"/>
      <c r="F28" s="13"/>
      <c r="G28" s="14"/>
      <c r="H28" s="13"/>
      <c r="I28" s="14"/>
      <c r="J28" s="13"/>
      <c r="K28" s="14"/>
    </row>
    <row r="29" spans="1:11" ht="11.9" customHeight="1">
      <c r="A29" s="12"/>
      <c r="B29" s="13"/>
      <c r="C29" s="14"/>
      <c r="D29" s="13"/>
      <c r="E29" s="14"/>
      <c r="F29" s="13"/>
      <c r="G29" s="14"/>
      <c r="H29" s="13"/>
      <c r="I29" s="14"/>
      <c r="J29" s="13"/>
      <c r="K29" s="14"/>
    </row>
    <row r="30" spans="1:11" ht="11.9" customHeight="1">
      <c r="A30" s="12"/>
      <c r="B30" s="13"/>
      <c r="C30" s="14"/>
      <c r="D30" s="13"/>
      <c r="E30" s="14"/>
      <c r="F30" s="13"/>
      <c r="G30" s="14"/>
      <c r="H30" s="13"/>
      <c r="I30" s="14"/>
      <c r="J30" s="13"/>
      <c r="K30" s="14"/>
    </row>
    <row r="31" spans="1:11" ht="11.9" customHeight="1">
      <c r="A31" s="12"/>
      <c r="B31" s="13"/>
      <c r="C31" s="14"/>
      <c r="D31" s="13"/>
      <c r="E31" s="14"/>
      <c r="F31" s="13"/>
      <c r="G31" s="14"/>
      <c r="H31" s="13"/>
      <c r="I31" s="14"/>
      <c r="J31" s="13"/>
      <c r="K31" s="14"/>
    </row>
    <row r="32" spans="1:11" ht="11.9" customHeight="1">
      <c r="A32" s="12"/>
      <c r="B32" s="13"/>
      <c r="C32" s="14"/>
      <c r="D32" s="13"/>
      <c r="E32" s="14"/>
      <c r="F32" s="13"/>
      <c r="G32" s="14"/>
      <c r="H32" s="13"/>
      <c r="I32" s="14"/>
      <c r="J32" s="13"/>
      <c r="K32" s="14"/>
    </row>
    <row r="33" spans="1:11" ht="11.9" customHeight="1">
      <c r="A33" s="12"/>
      <c r="B33" s="13"/>
      <c r="C33" s="14"/>
      <c r="D33" s="13"/>
      <c r="E33" s="14"/>
      <c r="F33" s="13"/>
      <c r="G33" s="14"/>
      <c r="H33" s="13"/>
      <c r="I33" s="14"/>
      <c r="J33" s="13"/>
      <c r="K33" s="14"/>
    </row>
    <row r="34" spans="1:11" ht="11.9" customHeight="1">
      <c r="A34" s="12"/>
      <c r="B34" s="13"/>
      <c r="C34" s="14"/>
      <c r="D34" s="13"/>
      <c r="E34" s="14"/>
      <c r="F34" s="13"/>
      <c r="G34" s="14"/>
      <c r="H34" s="13"/>
      <c r="I34" s="14"/>
      <c r="J34" s="13"/>
      <c r="K34" s="14"/>
    </row>
    <row r="35" spans="1:11" ht="11.9" customHeight="1">
      <c r="A35" s="12"/>
      <c r="B35" s="13"/>
      <c r="C35" s="14"/>
      <c r="D35" s="13"/>
      <c r="E35" s="14"/>
      <c r="F35" s="13"/>
      <c r="G35" s="14"/>
      <c r="H35" s="13"/>
      <c r="I35" s="14"/>
      <c r="J35" s="13"/>
      <c r="K35" s="14"/>
    </row>
    <row r="36" spans="1:11" ht="11.9" customHeight="1">
      <c r="A36" s="12"/>
      <c r="B36" s="13"/>
      <c r="C36" s="14"/>
      <c r="D36" s="13"/>
      <c r="E36" s="14"/>
      <c r="F36" s="13"/>
      <c r="G36" s="14"/>
      <c r="H36" s="13"/>
      <c r="I36" s="14"/>
      <c r="J36" s="13"/>
      <c r="K36" s="14"/>
    </row>
    <row r="37" spans="1:11" ht="11.9" customHeight="1">
      <c r="A37" s="12"/>
      <c r="B37" s="13"/>
      <c r="C37" s="14"/>
      <c r="D37" s="13"/>
      <c r="E37" s="14"/>
      <c r="F37" s="13"/>
      <c r="G37" s="14"/>
      <c r="H37" s="13"/>
      <c r="I37" s="14"/>
      <c r="J37" s="13"/>
      <c r="K37" s="14"/>
    </row>
    <row r="38" spans="1:11" ht="11.9" customHeight="1">
      <c r="A38" s="12"/>
      <c r="B38" s="13"/>
      <c r="C38" s="14"/>
      <c r="D38" s="13"/>
      <c r="E38" s="14"/>
      <c r="F38" s="13"/>
      <c r="G38" s="14"/>
      <c r="H38" s="13"/>
      <c r="I38" s="14"/>
      <c r="J38" s="13"/>
      <c r="K38" s="14"/>
    </row>
    <row r="39" spans="1:11" ht="11.9" customHeight="1">
      <c r="A39" s="12"/>
      <c r="B39" s="13"/>
      <c r="C39" s="14"/>
      <c r="D39" s="13"/>
      <c r="E39" s="14"/>
      <c r="F39" s="13"/>
      <c r="G39" s="14"/>
      <c r="H39" s="13"/>
      <c r="I39" s="14"/>
      <c r="J39" s="13"/>
      <c r="K39" s="14"/>
    </row>
    <row r="40" spans="1:11" ht="11.9" customHeight="1">
      <c r="A40" s="12"/>
      <c r="B40" s="13"/>
      <c r="C40" s="14"/>
      <c r="D40" s="13"/>
      <c r="E40" s="14"/>
      <c r="F40" s="13"/>
      <c r="G40" s="14"/>
      <c r="H40" s="13"/>
      <c r="I40" s="14"/>
      <c r="J40" s="13"/>
      <c r="K40" s="14"/>
    </row>
    <row r="41" spans="1:11" ht="11.9" customHeight="1">
      <c r="A41" s="12"/>
      <c r="B41" s="13"/>
      <c r="C41" s="14"/>
      <c r="D41" s="13"/>
      <c r="E41" s="14"/>
      <c r="F41" s="13"/>
      <c r="G41" s="14"/>
      <c r="H41" s="13"/>
      <c r="I41" s="14"/>
      <c r="J41" s="13"/>
      <c r="K41" s="14"/>
    </row>
    <row r="42" spans="1:11" ht="11.9" customHeight="1">
      <c r="A42" s="12"/>
      <c r="B42" s="13"/>
      <c r="C42" s="14"/>
      <c r="D42" s="13"/>
      <c r="E42" s="14"/>
      <c r="F42" s="13"/>
      <c r="G42" s="14"/>
      <c r="H42" s="13"/>
      <c r="I42" s="14"/>
      <c r="J42" s="13"/>
      <c r="K42" s="14"/>
    </row>
    <row r="43" spans="1:11" ht="11.9" customHeight="1">
      <c r="A43" s="12"/>
      <c r="B43" s="13"/>
      <c r="C43" s="14"/>
      <c r="D43" s="13"/>
      <c r="E43" s="14"/>
      <c r="F43" s="13"/>
      <c r="G43" s="14"/>
      <c r="H43" s="13"/>
      <c r="I43" s="14"/>
      <c r="J43" s="13"/>
      <c r="K43" s="14"/>
    </row>
    <row r="44" spans="1:11" ht="11.9" customHeight="1">
      <c r="A44" s="12"/>
      <c r="B44" s="13"/>
      <c r="C44" s="14"/>
      <c r="D44" s="13"/>
      <c r="E44" s="14"/>
      <c r="F44" s="13"/>
      <c r="G44" s="14"/>
      <c r="H44" s="13"/>
      <c r="I44" s="14"/>
      <c r="J44" s="13"/>
      <c r="K44" s="14"/>
    </row>
    <row r="45" spans="1:11" ht="11.9" customHeight="1">
      <c r="A45" s="12"/>
      <c r="B45" s="13"/>
      <c r="C45" s="14"/>
      <c r="D45" s="13"/>
      <c r="E45" s="14"/>
      <c r="F45" s="13"/>
      <c r="G45" s="14"/>
      <c r="H45" s="13"/>
      <c r="I45" s="14"/>
      <c r="J45" s="13"/>
      <c r="K45" s="14"/>
    </row>
    <row r="46" spans="1:11" ht="11.9" customHeight="1">
      <c r="A46" s="12"/>
      <c r="B46" s="13"/>
      <c r="C46" s="14"/>
      <c r="D46" s="13"/>
      <c r="E46" s="14"/>
      <c r="F46" s="13"/>
      <c r="G46" s="14"/>
      <c r="H46" s="13"/>
      <c r="I46" s="14"/>
      <c r="J46" s="13"/>
      <c r="K46" s="14"/>
    </row>
    <row r="47" spans="1:11" ht="11.9" customHeight="1">
      <c r="A47" s="12"/>
      <c r="B47" s="13"/>
      <c r="C47" s="14"/>
      <c r="D47" s="13"/>
      <c r="E47" s="14"/>
      <c r="F47" s="13"/>
      <c r="G47" s="14"/>
      <c r="H47" s="13"/>
      <c r="I47" s="14"/>
      <c r="J47" s="13"/>
      <c r="K47" s="14"/>
    </row>
    <row r="48" spans="1:11" ht="11.9" customHeight="1">
      <c r="A48" s="12"/>
      <c r="B48" s="13"/>
      <c r="C48" s="14"/>
      <c r="D48" s="13"/>
      <c r="E48" s="14"/>
      <c r="F48" s="13"/>
      <c r="G48" s="14"/>
      <c r="H48" s="13"/>
      <c r="I48" s="14"/>
      <c r="J48" s="13"/>
      <c r="K48" s="14"/>
    </row>
    <row r="49" spans="1:11" ht="11.9" customHeight="1">
      <c r="A49" s="12"/>
      <c r="B49" s="13"/>
      <c r="C49" s="14"/>
      <c r="D49" s="13"/>
      <c r="E49" s="14"/>
      <c r="F49" s="13"/>
      <c r="G49" s="14"/>
      <c r="H49" s="13"/>
      <c r="I49" s="14"/>
      <c r="J49" s="13"/>
      <c r="K49" s="14"/>
    </row>
    <row r="50" spans="1:11" ht="11.9" customHeight="1">
      <c r="A50" s="12"/>
      <c r="B50" s="13"/>
      <c r="C50" s="14"/>
      <c r="D50" s="13"/>
      <c r="E50" s="14"/>
      <c r="F50" s="13"/>
      <c r="G50" s="14"/>
      <c r="H50" s="13"/>
      <c r="I50" s="14"/>
      <c r="J50" s="13"/>
      <c r="K50" s="14"/>
    </row>
    <row r="51" spans="1:11" ht="11.9" customHeight="1"/>
    <row r="52" spans="1:11" ht="11.9" customHeight="1"/>
    <row r="53" spans="1:11" ht="11.9" customHeight="1"/>
    <row r="54" spans="1:11" ht="11.9" customHeight="1"/>
    <row r="55" spans="1:11" ht="11.9" customHeight="1"/>
    <row r="56" spans="1:11" ht="11.9" customHeight="1"/>
    <row r="57" spans="1:11" ht="11.9" customHeight="1"/>
    <row r="58" spans="1:11" ht="11.9" customHeight="1"/>
    <row r="59" spans="1:11" ht="11.9" customHeight="1"/>
    <row r="60" spans="1:11" ht="11.9" customHeight="1"/>
    <row r="61" spans="1:11" ht="11.9" customHeight="1"/>
    <row r="62" spans="1:11" ht="11.9" customHeight="1"/>
    <row r="63" spans="1:11" ht="11.9" customHeight="1"/>
    <row r="64" spans="1:11" ht="11.9" customHeight="1"/>
    <row r="65" ht="11.9" customHeight="1"/>
    <row r="66" ht="11.9" customHeight="1"/>
    <row r="67" ht="11.9" customHeight="1"/>
    <row r="68" ht="11.9" customHeight="1"/>
    <row r="69" ht="11.9" customHeight="1"/>
    <row r="70" ht="11.9" customHeight="1"/>
    <row r="71" ht="11.9" customHeight="1"/>
    <row r="72" ht="11.9" customHeight="1"/>
    <row r="73" ht="11.9" customHeight="1"/>
    <row r="74" ht="11.9" customHeight="1"/>
    <row r="75" ht="11.9" customHeight="1"/>
    <row r="76" ht="11.9" customHeight="1"/>
    <row r="77" ht="11.9" customHeight="1"/>
    <row r="78" ht="11.9" customHeight="1"/>
    <row r="93" spans="1:10">
      <c r="A93" s="10"/>
      <c r="B93" s="11"/>
      <c r="D93" s="11"/>
      <c r="F93" s="11"/>
      <c r="H93" s="11"/>
      <c r="J93" s="11"/>
    </row>
    <row r="94" spans="1:10">
      <c r="A94" s="12"/>
      <c r="B94" s="13"/>
      <c r="D94" s="13"/>
      <c r="F94" s="13"/>
      <c r="H94" s="13"/>
      <c r="J94" s="13"/>
    </row>
    <row r="95" spans="1:10">
      <c r="A95" s="14"/>
      <c r="B95" s="13"/>
      <c r="D95" s="13"/>
      <c r="F95" s="13"/>
      <c r="H95" s="13"/>
      <c r="J95" s="13"/>
    </row>
    <row r="96" spans="1:10">
      <c r="A96" s="14"/>
      <c r="B96" s="13"/>
      <c r="D96" s="13"/>
      <c r="F96" s="13"/>
      <c r="H96" s="13"/>
      <c r="J96" s="13"/>
    </row>
    <row r="97" spans="1:10">
      <c r="A97" s="14"/>
      <c r="B97" s="13"/>
      <c r="D97" s="13"/>
      <c r="F97" s="13"/>
      <c r="H97" s="13"/>
      <c r="J97" s="13"/>
    </row>
    <row r="98" spans="1:10">
      <c r="A98" s="14"/>
      <c r="B98" s="13"/>
      <c r="D98" s="13"/>
      <c r="F98" s="13"/>
      <c r="H98" s="13"/>
      <c r="J98" s="13"/>
    </row>
    <row r="99" spans="1:10">
      <c r="A99" s="14"/>
      <c r="B99" s="13"/>
      <c r="D99" s="13"/>
      <c r="F99" s="13"/>
      <c r="H99" s="13"/>
      <c r="J99" s="13"/>
    </row>
    <row r="100" spans="1:10">
      <c r="A100" s="14"/>
      <c r="B100" s="13"/>
      <c r="D100" s="13"/>
      <c r="F100" s="13"/>
      <c r="H100" s="13"/>
      <c r="J100" s="13"/>
    </row>
    <row r="101" spans="1:10">
      <c r="A101" s="12"/>
      <c r="B101" s="13"/>
      <c r="D101" s="13"/>
      <c r="F101" s="13"/>
      <c r="H101" s="13"/>
      <c r="J101" s="13"/>
    </row>
    <row r="102" spans="1:10">
      <c r="A102" s="12"/>
      <c r="B102" s="13"/>
      <c r="D102" s="13"/>
      <c r="F102" s="13"/>
      <c r="H102" s="13"/>
      <c r="J102" s="13"/>
    </row>
    <row r="103" spans="1:10">
      <c r="A103" s="12"/>
      <c r="B103" s="13"/>
      <c r="D103" s="13"/>
      <c r="F103" s="13"/>
      <c r="H103" s="13"/>
      <c r="J103" s="13"/>
    </row>
    <row r="104" spans="1:10">
      <c r="A104" s="12"/>
      <c r="B104" s="13"/>
      <c r="D104" s="13"/>
      <c r="F104" s="13"/>
      <c r="H104" s="13"/>
      <c r="J104" s="13"/>
    </row>
    <row r="105" spans="1:10">
      <c r="A105" s="12"/>
      <c r="B105" s="13"/>
      <c r="D105" s="13"/>
      <c r="F105" s="13"/>
      <c r="H105" s="13"/>
      <c r="J105" s="13"/>
    </row>
    <row r="106" spans="1:10">
      <c r="A106" s="12"/>
      <c r="B106" s="13"/>
      <c r="D106" s="13"/>
      <c r="F106" s="13"/>
      <c r="H106" s="13"/>
      <c r="J106" s="13"/>
    </row>
    <row r="107" spans="1:10">
      <c r="A107" s="12"/>
      <c r="B107" s="13"/>
      <c r="D107" s="13"/>
      <c r="F107" s="13"/>
      <c r="H107" s="13"/>
      <c r="J107" s="13"/>
    </row>
    <row r="108" spans="1:10">
      <c r="A108" s="14"/>
      <c r="B108" s="13"/>
      <c r="D108" s="13"/>
      <c r="F108" s="13"/>
      <c r="H108" s="13"/>
      <c r="J108" s="13"/>
    </row>
    <row r="109" spans="1:10">
      <c r="A109" s="14"/>
      <c r="B109" s="13"/>
      <c r="D109" s="13"/>
      <c r="F109" s="13"/>
      <c r="H109" s="13"/>
      <c r="J109" s="13"/>
    </row>
  </sheetData>
  <mergeCells count="15">
    <mergeCell ref="A6:A7"/>
    <mergeCell ref="A8:A9"/>
    <mergeCell ref="A20:A21"/>
    <mergeCell ref="A22:A23"/>
    <mergeCell ref="A18:A19"/>
    <mergeCell ref="A10:A11"/>
    <mergeCell ref="A12:A13"/>
    <mergeCell ref="A14:A15"/>
    <mergeCell ref="A16:A17"/>
    <mergeCell ref="A4:A5"/>
    <mergeCell ref="J4:K4"/>
    <mergeCell ref="D4:E4"/>
    <mergeCell ref="F4:G4"/>
    <mergeCell ref="B4:C4"/>
    <mergeCell ref="H4:I4"/>
  </mergeCells>
  <phoneticPr fontId="2"/>
  <printOptions horizontalCentered="1"/>
  <pageMargins left="0.19685039370078741" right="0.19685039370078741" top="0.78740157480314965" bottom="0.59055118110236227" header="0.51181102362204722" footer="0.39370078740157483"/>
  <pageSetup paperSize="9" scale="82" orientation="landscape" horizontalDpi="300" verticalDpi="30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F39DE-3F9D-4D94-9054-833FA834B1C5}">
  <sheetPr codeName="Sheet22">
    <pageSetUpPr fitToPage="1"/>
  </sheetPr>
  <dimension ref="A1:F79"/>
  <sheetViews>
    <sheetView showGridLines="0" zoomScaleNormal="100" workbookViewId="0"/>
  </sheetViews>
  <sheetFormatPr defaultColWidth="10.296875" defaultRowHeight="11"/>
  <cols>
    <col min="1" max="1" width="29.8984375" style="1" customWidth="1"/>
    <col min="2" max="6" width="17.8984375" style="1" customWidth="1"/>
    <col min="7" max="16384" width="10.296875" style="1"/>
  </cols>
  <sheetData>
    <row r="1" spans="1:6" ht="19">
      <c r="B1" s="2" t="s">
        <v>0</v>
      </c>
    </row>
    <row r="3" spans="1:6" ht="11.5" thickBot="1">
      <c r="F3" s="3" t="s">
        <v>1</v>
      </c>
    </row>
    <row r="4" spans="1:6" ht="12" customHeight="1">
      <c r="A4" s="71" t="s">
        <v>2</v>
      </c>
      <c r="B4" s="4">
        <v>1999</v>
      </c>
      <c r="C4" s="4">
        <v>2000</v>
      </c>
      <c r="D4" s="4">
        <v>2001</v>
      </c>
      <c r="E4" s="4">
        <v>2002</v>
      </c>
      <c r="F4" s="4">
        <v>2003</v>
      </c>
    </row>
    <row r="5" spans="1:6" ht="12" customHeight="1" thickBot="1">
      <c r="A5" s="84"/>
      <c r="B5" s="5"/>
      <c r="C5" s="5"/>
      <c r="D5" s="5"/>
      <c r="E5" s="5"/>
      <c r="F5" s="5"/>
    </row>
    <row r="6" spans="1:6" ht="12" customHeight="1">
      <c r="A6" s="66" t="s">
        <v>3</v>
      </c>
      <c r="B6" s="6"/>
      <c r="C6" s="6"/>
      <c r="D6" s="6"/>
      <c r="E6" s="6"/>
      <c r="F6" s="6"/>
    </row>
    <row r="7" spans="1:6" ht="12" customHeight="1">
      <c r="A7" s="64"/>
      <c r="B7" s="8">
        <v>22.334530000000001</v>
      </c>
      <c r="C7" s="8">
        <v>25.684359000000001</v>
      </c>
      <c r="D7" s="8">
        <v>25.217395</v>
      </c>
      <c r="E7" s="8">
        <v>27.380030999999999</v>
      </c>
      <c r="F7" s="8">
        <v>28.284274</v>
      </c>
    </row>
    <row r="8" spans="1:6" ht="12" customHeight="1">
      <c r="A8" s="64" t="s">
        <v>4</v>
      </c>
      <c r="B8" s="8"/>
      <c r="C8" s="8"/>
      <c r="D8" s="8"/>
      <c r="E8" s="8"/>
      <c r="F8" s="8"/>
    </row>
    <row r="9" spans="1:6" ht="12" customHeight="1">
      <c r="A9" s="64"/>
      <c r="B9" s="8">
        <v>36.500729999999997</v>
      </c>
      <c r="C9" s="8">
        <v>38.508049999999997</v>
      </c>
      <c r="D9" s="8">
        <v>38.114885999999998</v>
      </c>
      <c r="E9" s="8">
        <v>39.036138999999999</v>
      </c>
      <c r="F9" s="8">
        <v>40.740771000000002</v>
      </c>
    </row>
    <row r="10" spans="1:6" ht="12" customHeight="1">
      <c r="A10" s="64" t="s">
        <v>5</v>
      </c>
      <c r="B10" s="8"/>
      <c r="C10" s="8"/>
      <c r="D10" s="8"/>
      <c r="E10" s="8"/>
      <c r="F10" s="8"/>
    </row>
    <row r="11" spans="1:6" ht="12" customHeight="1" thickBot="1">
      <c r="A11" s="65"/>
      <c r="B11" s="9">
        <v>16.041098000000002</v>
      </c>
      <c r="C11" s="9">
        <v>19.656172000000002</v>
      </c>
      <c r="D11" s="9">
        <v>19.142382000000001</v>
      </c>
      <c r="E11" s="9">
        <v>22.040552000000002</v>
      </c>
      <c r="F11" s="9">
        <v>22.462358999999999</v>
      </c>
    </row>
    <row r="12" spans="1:6" ht="12" customHeight="1">
      <c r="A12" s="64" t="s">
        <v>6</v>
      </c>
      <c r="B12" s="8"/>
      <c r="C12" s="8"/>
      <c r="D12" s="8"/>
      <c r="E12" s="8"/>
      <c r="F12" s="8"/>
    </row>
    <row r="13" spans="1:6" ht="12" customHeight="1">
      <c r="A13" s="64"/>
      <c r="B13" s="8"/>
      <c r="C13" s="8"/>
      <c r="D13" s="8"/>
      <c r="E13" s="8"/>
      <c r="F13" s="8"/>
    </row>
    <row r="14" spans="1:6" ht="12" customHeight="1">
      <c r="A14" s="64" t="s">
        <v>7</v>
      </c>
      <c r="B14" s="8"/>
      <c r="C14" s="8"/>
      <c r="D14" s="8"/>
      <c r="E14" s="8"/>
      <c r="F14" s="8"/>
    </row>
    <row r="15" spans="1:6" ht="12" customHeight="1">
      <c r="A15" s="64"/>
      <c r="B15" s="8">
        <v>31.506954</v>
      </c>
      <c r="C15" s="8">
        <v>32.754033999999997</v>
      </c>
      <c r="D15" s="8">
        <v>32.741593000000002</v>
      </c>
      <c r="E15" s="8">
        <v>33.694400000000002</v>
      </c>
      <c r="F15" s="8">
        <v>35.749099000000001</v>
      </c>
    </row>
    <row r="16" spans="1:6" ht="12" customHeight="1">
      <c r="A16" s="64" t="s">
        <v>8</v>
      </c>
      <c r="B16" s="8"/>
      <c r="C16" s="8"/>
      <c r="D16" s="8"/>
      <c r="E16" s="8"/>
      <c r="F16" s="8"/>
    </row>
    <row r="17" spans="1:6" ht="12" customHeight="1">
      <c r="A17" s="64"/>
      <c r="B17" s="8">
        <v>19.208008</v>
      </c>
      <c r="C17" s="8">
        <v>20.387647999999999</v>
      </c>
      <c r="D17" s="8">
        <v>22.104603000000001</v>
      </c>
      <c r="E17" s="8">
        <v>24.130842000000001</v>
      </c>
      <c r="F17" s="8">
        <v>25.249368</v>
      </c>
    </row>
    <row r="18" spans="1:6" ht="12" customHeight="1">
      <c r="A18" s="64" t="s">
        <v>9</v>
      </c>
      <c r="B18" s="8"/>
      <c r="C18" s="8"/>
      <c r="D18" s="8"/>
      <c r="E18" s="8"/>
      <c r="F18" s="8"/>
    </row>
    <row r="19" spans="1:6" ht="12" customHeight="1">
      <c r="A19" s="64"/>
      <c r="B19" s="8">
        <v>14.045719</v>
      </c>
      <c r="C19" s="8">
        <v>20.899602999999999</v>
      </c>
      <c r="D19" s="8">
        <v>18.646809000000001</v>
      </c>
      <c r="E19" s="8">
        <v>23.002092000000001</v>
      </c>
      <c r="F19" s="8">
        <v>23.264529</v>
      </c>
    </row>
    <row r="20" spans="1:6" ht="12" customHeight="1">
      <c r="A20" s="64" t="s">
        <v>10</v>
      </c>
      <c r="B20" s="8"/>
      <c r="C20" s="8"/>
      <c r="D20" s="8"/>
      <c r="E20" s="8"/>
      <c r="F20" s="8"/>
    </row>
    <row r="21" spans="1:6" ht="12" customHeight="1" thickBot="1">
      <c r="A21" s="65"/>
      <c r="B21" s="9">
        <v>8.7757050000000003</v>
      </c>
      <c r="C21" s="9">
        <v>9.7349060000000005</v>
      </c>
      <c r="D21" s="9">
        <v>8.0445349999999998</v>
      </c>
      <c r="E21" s="9">
        <v>10.238484</v>
      </c>
      <c r="F21" s="9">
        <v>4.5426460000000004</v>
      </c>
    </row>
    <row r="22" spans="1:6" ht="11.9" customHeight="1"/>
    <row r="23" spans="1:6" ht="11.9" customHeight="1"/>
    <row r="24" spans="1:6" ht="11.9" customHeight="1"/>
    <row r="25" spans="1:6" ht="11.9" customHeight="1"/>
    <row r="26" spans="1:6" ht="11.9" customHeight="1"/>
    <row r="27" spans="1:6" ht="11.9" customHeight="1"/>
    <row r="28" spans="1:6" ht="11.9" customHeight="1"/>
    <row r="29" spans="1:6" ht="11.9" customHeight="1"/>
    <row r="30" spans="1:6" ht="11.9" customHeight="1"/>
    <row r="31" spans="1:6" ht="11.9" customHeight="1"/>
    <row r="32" spans="1:6" ht="11.9" customHeight="1"/>
    <row r="33" ht="11.9" customHeight="1"/>
    <row r="34" ht="11.9" customHeight="1"/>
    <row r="35" ht="11.9" customHeight="1"/>
    <row r="36" ht="11.9" customHeight="1"/>
    <row r="37" ht="11.9" customHeight="1"/>
    <row r="38" ht="11.9" customHeight="1"/>
    <row r="39" ht="11.9" customHeight="1"/>
    <row r="40" ht="11.9" customHeight="1"/>
    <row r="41" ht="11.9" customHeight="1"/>
    <row r="42" ht="11.9" customHeight="1"/>
    <row r="43" ht="11.9" customHeight="1"/>
    <row r="44" ht="11.9" customHeight="1"/>
    <row r="45" ht="11.9" customHeight="1"/>
    <row r="46" ht="11.9" customHeight="1"/>
    <row r="47" ht="11.9" customHeight="1"/>
    <row r="48" ht="11.9" customHeight="1"/>
    <row r="63" spans="1:6">
      <c r="A63" s="10"/>
      <c r="B63" s="11"/>
      <c r="C63" s="11"/>
      <c r="D63" s="11"/>
      <c r="E63" s="11"/>
      <c r="F63" s="11"/>
    </row>
    <row r="64" spans="1:6">
      <c r="A64" s="12"/>
      <c r="B64" s="13"/>
      <c r="C64" s="13"/>
      <c r="D64" s="13"/>
      <c r="E64" s="13"/>
      <c r="F64" s="13"/>
    </row>
    <row r="65" spans="1:6">
      <c r="A65" s="14"/>
      <c r="B65" s="13"/>
      <c r="C65" s="13"/>
      <c r="D65" s="13"/>
      <c r="E65" s="13"/>
      <c r="F65" s="13"/>
    </row>
    <row r="66" spans="1:6">
      <c r="A66" s="14"/>
      <c r="B66" s="13"/>
      <c r="C66" s="13"/>
      <c r="D66" s="13"/>
      <c r="E66" s="13"/>
      <c r="F66" s="13"/>
    </row>
    <row r="67" spans="1:6">
      <c r="A67" s="14"/>
      <c r="B67" s="13"/>
      <c r="C67" s="13"/>
      <c r="D67" s="13"/>
      <c r="E67" s="13"/>
      <c r="F67" s="13"/>
    </row>
    <row r="68" spans="1:6">
      <c r="A68" s="14"/>
      <c r="B68" s="13"/>
      <c r="C68" s="13"/>
      <c r="D68" s="13"/>
      <c r="E68" s="13"/>
      <c r="F68" s="13"/>
    </row>
    <row r="69" spans="1:6">
      <c r="A69" s="14"/>
      <c r="B69" s="13"/>
      <c r="C69" s="13"/>
      <c r="D69" s="13"/>
      <c r="E69" s="13"/>
      <c r="F69" s="13"/>
    </row>
    <row r="70" spans="1:6">
      <c r="A70" s="14"/>
      <c r="B70" s="13"/>
      <c r="C70" s="13"/>
      <c r="D70" s="13"/>
      <c r="E70" s="13"/>
      <c r="F70" s="13"/>
    </row>
    <row r="71" spans="1:6">
      <c r="A71" s="12"/>
      <c r="B71" s="13"/>
      <c r="C71" s="13"/>
      <c r="D71" s="13"/>
      <c r="E71" s="13"/>
      <c r="F71" s="13"/>
    </row>
    <row r="72" spans="1:6">
      <c r="A72" s="12"/>
      <c r="B72" s="13"/>
      <c r="C72" s="13"/>
      <c r="D72" s="13"/>
      <c r="E72" s="13"/>
      <c r="F72" s="13"/>
    </row>
    <row r="73" spans="1:6">
      <c r="A73" s="12"/>
      <c r="B73" s="13"/>
      <c r="C73" s="13"/>
      <c r="D73" s="13"/>
      <c r="E73" s="13"/>
      <c r="F73" s="13"/>
    </row>
    <row r="74" spans="1:6">
      <c r="A74" s="12"/>
      <c r="B74" s="13"/>
      <c r="C74" s="13"/>
      <c r="D74" s="13"/>
      <c r="E74" s="13"/>
      <c r="F74" s="13"/>
    </row>
    <row r="75" spans="1:6">
      <c r="A75" s="12"/>
      <c r="B75" s="13"/>
      <c r="C75" s="13"/>
      <c r="D75" s="13"/>
      <c r="E75" s="13"/>
      <c r="F75" s="13"/>
    </row>
    <row r="76" spans="1:6">
      <c r="A76" s="12"/>
      <c r="B76" s="13"/>
      <c r="C76" s="13"/>
      <c r="D76" s="13"/>
      <c r="E76" s="13"/>
      <c r="F76" s="13"/>
    </row>
    <row r="77" spans="1:6">
      <c r="A77" s="12"/>
      <c r="B77" s="13"/>
      <c r="C77" s="13"/>
      <c r="D77" s="13"/>
      <c r="E77" s="13"/>
      <c r="F77" s="13"/>
    </row>
    <row r="78" spans="1:6">
      <c r="A78" s="14"/>
      <c r="B78" s="13"/>
      <c r="C78" s="13"/>
      <c r="D78" s="13"/>
      <c r="E78" s="13"/>
      <c r="F78" s="13"/>
    </row>
    <row r="79" spans="1:6">
      <c r="A79" s="14"/>
      <c r="B79" s="13"/>
      <c r="C79" s="13"/>
      <c r="D79" s="13"/>
      <c r="E79" s="13"/>
      <c r="F79" s="13"/>
    </row>
  </sheetData>
  <mergeCells count="9">
    <mergeCell ref="A20:A21"/>
    <mergeCell ref="A18:A19"/>
    <mergeCell ref="A14:A15"/>
    <mergeCell ref="A8:A9"/>
    <mergeCell ref="A12:A13"/>
    <mergeCell ref="A6:A7"/>
    <mergeCell ref="A4:A5"/>
    <mergeCell ref="A16:A17"/>
    <mergeCell ref="A10:A11"/>
  </mergeCells>
  <phoneticPr fontId="2"/>
  <printOptions horizontalCentered="1"/>
  <pageMargins left="0.39370078740157483" right="0.39370078740157483" top="0.78740157480314965" bottom="0.59055118110236227" header="0.51181102362204722" footer="0.39370078740157483"/>
  <pageSetup paperSize="9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22</vt:i4>
      </vt:variant>
    </vt:vector>
  </HeadingPairs>
  <TitlesOfParts>
    <vt:vector size="33" baseType="lpstr">
      <vt:lpstr>Sales</vt:lpstr>
      <vt:lpstr>Current profits</vt:lpstr>
      <vt:lpstr>Operating income</vt:lpstr>
      <vt:lpstr>Ratios of OI</vt:lpstr>
      <vt:lpstr>Division of profits</vt:lpstr>
      <vt:lpstr>Value added</vt:lpstr>
      <vt:lpstr>Investment in plant </vt:lpstr>
      <vt:lpstr>Increases in inventories</vt:lpstr>
      <vt:lpstr>Financial items</vt:lpstr>
      <vt:lpstr>Raising of funds</vt:lpstr>
      <vt:lpstr>Ratio of net worth</vt:lpstr>
      <vt:lpstr>'Current profits'!Print_Area</vt:lpstr>
      <vt:lpstr>'Division of profits'!Print_Area</vt:lpstr>
      <vt:lpstr>'Financial items'!Print_Area</vt:lpstr>
      <vt:lpstr>'Increases in inventories'!Print_Area</vt:lpstr>
      <vt:lpstr>'Investment in plant '!Print_Area</vt:lpstr>
      <vt:lpstr>'Operating income'!Print_Area</vt:lpstr>
      <vt:lpstr>'Raising of funds'!Print_Area</vt:lpstr>
      <vt:lpstr>'Ratio of net worth'!Print_Area</vt:lpstr>
      <vt:lpstr>'Ratios of OI'!Print_Area</vt:lpstr>
      <vt:lpstr>Sales!Print_Area</vt:lpstr>
      <vt:lpstr>'Value added'!Print_Area</vt:lpstr>
      <vt:lpstr>'Current profits'!Print_Titles</vt:lpstr>
      <vt:lpstr>'Division of profits'!Print_Titles</vt:lpstr>
      <vt:lpstr>'Financial items'!Print_Titles</vt:lpstr>
      <vt:lpstr>'Increases in inventories'!Print_Titles</vt:lpstr>
      <vt:lpstr>'Investment in plant '!Print_Titles</vt:lpstr>
      <vt:lpstr>'Operating income'!Print_Titles</vt:lpstr>
      <vt:lpstr>'Raising of funds'!Print_Titles</vt:lpstr>
      <vt:lpstr>'Ratio of net worth'!Print_Titles</vt:lpstr>
      <vt:lpstr>'Ratios of OI'!Print_Titles</vt:lpstr>
      <vt:lpstr>Sales!Print_Titles</vt:lpstr>
      <vt:lpstr>'Value added'!Print_Titles</vt:lpstr>
    </vt:vector>
  </TitlesOfParts>
  <Company>Ministry Of Finance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AS44309H</dc:creator>
  <cp:lastModifiedBy>Paul B</cp:lastModifiedBy>
  <cp:lastPrinted>2004-09-03T10:39:55Z</cp:lastPrinted>
  <dcterms:created xsi:type="dcterms:W3CDTF">2004-09-03T05:08:56Z</dcterms:created>
  <dcterms:modified xsi:type="dcterms:W3CDTF">2026-04-16T11:38:39Z</dcterms:modified>
</cp:coreProperties>
</file>