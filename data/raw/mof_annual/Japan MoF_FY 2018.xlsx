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D24E53D1-4178-4888-86AF-52EBB2DAA18F}" xr6:coauthVersionLast="47" xr6:coauthVersionMax="47" xr10:uidLastSave="{00000000-0000-0000-0000-000000000000}"/>
  <bookViews>
    <workbookView xWindow="-110" yWindow="-110" windowWidth="19420" windowHeight="10300" xr2:uid="{1C14F39E-F947-4E04-BB28-82898A0C6CCD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19" r:id="rId6"/>
    <sheet name="6" sheetId="7" r:id="rId7"/>
    <sheet name="7" sheetId="10" r:id="rId8"/>
    <sheet name="8" sheetId="6" r:id="rId9"/>
    <sheet name="9" sheetId="5" r:id="rId10"/>
    <sheet name="10" sheetId="4" r:id="rId11"/>
    <sheet name="11" sheetId="3" r:id="rId12"/>
    <sheet name="12" sheetId="15" r:id="rId13"/>
    <sheet name="13" sheetId="17" r:id="rId14"/>
    <sheet name="14" sheetId="20" r:id="rId15"/>
    <sheet name="15" sheetId="18" r:id="rId16"/>
    <sheet name="16" sheetId="16" r:id="rId17"/>
  </sheets>
  <externalReferences>
    <externalReference r:id="rId18"/>
  </externalReferences>
  <definedNames>
    <definedName name="_xlnm.Print_Area" localSheetId="0">'1'!$A$1:$K$36</definedName>
    <definedName name="_xlnm.Print_Area" localSheetId="10">'10'!$A$1:$K$24</definedName>
    <definedName name="_xlnm.Print_Area" localSheetId="11">'11'!$A$1:$F$17</definedName>
    <definedName name="_xlnm.Print_Area" localSheetId="12">'12'!$A$1:$X$32</definedName>
    <definedName name="_xlnm.Print_Area" localSheetId="13">'13'!$A$1:$S$15</definedName>
    <definedName name="_xlnm.Print_Area" localSheetId="14">'14'!$A$1:$K$22</definedName>
    <definedName name="_xlnm.Print_Area" localSheetId="15">'15'!$A$1:$X$38</definedName>
    <definedName name="_xlnm.Print_Area" localSheetId="16">'16'!$A$1:$S$22</definedName>
    <definedName name="_xlnm.Print_Area" localSheetId="1">'2'!$A$1:$K$36</definedName>
    <definedName name="_xlnm.Print_Area" localSheetId="2">'2-1'!$A$1:$K$10</definedName>
    <definedName name="_xlnm.Print_Area" localSheetId="3">'3'!$A$1:$K$34</definedName>
    <definedName name="_xlnm.Print_Area" localSheetId="4">'4'!$A$1:$K$11</definedName>
    <definedName name="_xlnm.Print_Area" localSheetId="5">'5'!$A$1:$K$15</definedName>
    <definedName name="_xlnm.Print_Area" localSheetId="6">'6'!$A$1:$K$23</definedName>
    <definedName name="_xlnm.Print_Area" localSheetId="7">'7'!$A$1:$K$43</definedName>
    <definedName name="_xlnm.Print_Area" localSheetId="9">'9'!$A$1:$K$16</definedName>
    <definedName name="_xlnm.Print_Titles" localSheetId="0">'1'!$A:$A</definedName>
    <definedName name="tempRange">#REF!</definedName>
    <definedName name="全国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0" l="1"/>
  <c r="K17" i="20"/>
  <c r="K18" i="20"/>
  <c r="K15" i="20"/>
  <c r="K10" i="20"/>
  <c r="K11" i="20"/>
  <c r="K12" i="20"/>
  <c r="K9" i="20"/>
  <c r="K6" i="20"/>
  <c r="K5" i="20"/>
  <c r="K10" i="19"/>
  <c r="K11" i="19"/>
  <c r="K12" i="19"/>
  <c r="K9" i="19"/>
  <c r="K6" i="19"/>
  <c r="K7" i="19"/>
  <c r="K5" i="19"/>
</calcChain>
</file>

<file path=xl/sharedStrings.xml><?xml version="1.0" encoding="utf-8"?>
<sst xmlns="http://schemas.openxmlformats.org/spreadsheetml/2006/main" count="490" uniqueCount="328">
  <si>
    <t>1 billion yen or over</t>
    <phoneticPr fontId="12"/>
  </si>
  <si>
    <t>1.</t>
    <phoneticPr fontId="2"/>
  </si>
  <si>
    <t>2.</t>
    <phoneticPr fontId="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</si>
  <si>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</si>
  <si>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</si>
  <si>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</si>
  <si>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</si>
  <si>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</si>
  <si>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</si>
  <si>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</si>
  <si>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</si>
  <si>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</si>
  <si>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</si>
  <si>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</si>
  <si>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</si>
  <si>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</si>
  <si>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</si>
  <si>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</si>
  <si>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</si>
  <si>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</si>
  <si>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</si>
  <si>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</si>
  <si>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</si>
  <si>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</si>
  <si>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</si>
  <si>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</si>
  <si>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</si>
  <si>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</si>
  <si>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</si>
  <si>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</si>
  <si>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</si>
  <si>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</si>
  <si>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</si>
  <si>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</si>
  <si>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</si>
  <si>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</si>
  <si>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</si>
  <si>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</si>
  <si>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</si>
  <si>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</si>
  <si>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</si>
  <si>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</si>
  <si>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</si>
  <si>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</si>
  <si>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</si>
  <si>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</si>
  <si>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</si>
  <si>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</si>
  <si>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</si>
  <si>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</si>
  <si>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</si>
  <si>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</si>
  <si>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</si>
  <si>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</si>
  <si>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</si>
  <si>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</si>
  <si>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</si>
  <si>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</si>
  <si>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</si>
  <si>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</si>
  <si>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</si>
  <si>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</si>
  <si>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Ratio of
component</t>
    <phoneticPr fontId="2"/>
  </si>
  <si>
    <t>Net profits for the period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</si>
  <si>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</si>
  <si>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</si>
  <si>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</si>
  <si>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</si>
  <si>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</si>
  <si>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</si>
  <si>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</si>
  <si>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</si>
  <si>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</si>
  <si>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</si>
  <si>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</si>
  <si>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</si>
  <si>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</si>
  <si>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</si>
  <si>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</si>
  <si>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</si>
  <si>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</si>
  <si>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</si>
  <si>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</si>
  <si>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</si>
  <si>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</si>
  <si>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</si>
  <si>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</si>
  <si>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</si>
  <si>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</si>
  <si>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</si>
  <si>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</si>
  <si>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</si>
  <si>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</si>
  <si>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</si>
  <si>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</si>
  <si>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</si>
  <si>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</si>
  <si>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</si>
  <si>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</si>
  <si>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</si>
  <si>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</si>
  <si>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</si>
  <si>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</si>
  <si>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</si>
  <si>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</si>
  <si>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</si>
  <si>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</si>
  <si>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</si>
  <si>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</si>
  <si>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</si>
  <si>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</si>
  <si>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</si>
  <si>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</si>
  <si>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 xml:space="preserve">        3.All Industries and Non-Manufacturing except Finance and Insurance.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</si>
  <si>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</si>
  <si>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</si>
  <si>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</si>
  <si>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</si>
  <si>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</si>
  <si>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</si>
  <si>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</si>
  <si>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</si>
  <si>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</si>
  <si>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</si>
  <si>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</si>
  <si>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</si>
  <si>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</si>
  <si>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</si>
  <si>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</si>
  <si>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</si>
  <si>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</si>
  <si>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</si>
  <si>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</si>
  <si>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</si>
  <si>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</si>
  <si>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</si>
  <si>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</si>
  <si>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</si>
  <si>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</si>
  <si>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</si>
  <si>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</si>
  <si>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</si>
  <si>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</si>
  <si>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</si>
  <si>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</si>
  <si>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</si>
  <si>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</si>
  <si>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</si>
  <si>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</si>
  <si>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</si>
  <si>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</si>
  <si>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</si>
  <si>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</si>
  <si>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</si>
  <si>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</si>
  <si>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</si>
  <si>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</si>
  <si>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</si>
  <si>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</si>
  <si>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</si>
  <si>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</si>
  <si>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</si>
  <si>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</si>
  <si>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</si>
  <si>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</si>
  <si>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</si>
  <si>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</si>
  <si>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</si>
  <si>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</si>
  <si>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</si>
  <si>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</si>
  <si>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</si>
  <si>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</si>
  <si>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</si>
  <si>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</si>
  <si>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Money lending business etc. are non-deposit money corporations,including lending and credit card business.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</si>
  <si>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</si>
  <si>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</si>
  <si>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</si>
  <si>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</si>
  <si>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Classification</t>
    <phoneticPr fontId="2"/>
  </si>
  <si>
    <t>Net profits for the period</t>
    <phoneticPr fontId="2"/>
  </si>
  <si>
    <t>Finance and Insurance</t>
    <phoneticPr fontId="2"/>
  </si>
  <si>
    <t>Classification</t>
    <phoneticPr fontId="2"/>
  </si>
  <si>
    <t>Percent
change</t>
    <phoneticPr fontId="1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</si>
  <si>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</si>
  <si>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</si>
  <si>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</si>
  <si>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</si>
  <si>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</si>
  <si>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</si>
  <si>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</si>
  <si>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</si>
  <si>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</si>
  <si>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</si>
  <si>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</si>
  <si>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</si>
  <si>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</si>
  <si>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</si>
  <si>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</si>
  <si>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</si>
  <si>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</si>
  <si>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</si>
  <si>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</si>
  <si>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</si>
  <si>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</si>
  <si>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</si>
  <si>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</si>
  <si>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</si>
  <si>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</si>
  <si>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</si>
  <si>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</si>
  <si>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</si>
  <si>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</si>
  <si>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</si>
  <si>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</si>
  <si>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</si>
  <si>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× 100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</si>
  <si>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</si>
  <si>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</si>
  <si>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</si>
  <si>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</si>
  <si>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</si>
  <si>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</si>
  <si>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</si>
  <si>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</si>
  <si>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</si>
  <si>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</si>
  <si>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</si>
  <si>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</si>
  <si>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</si>
  <si>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</si>
  <si>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</si>
  <si>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</si>
  <si>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</si>
  <si>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</si>
  <si>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</si>
  <si>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</si>
  <si>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</si>
  <si>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</si>
  <si>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</si>
  <si>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</si>
  <si>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</si>
  <si>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</si>
  <si>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</si>
  <si>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</si>
  <si>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>Notes : 1. Net profits for the period = ordinary profits + special profits - special losses - corporation tax and inhabitants' tax and enterprise tax - tax expenses adject</t>
    <phoneticPr fontId="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</si>
  <si>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</si>
  <si>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</si>
  <si>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</si>
  <si>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</si>
  <si>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 xml:space="preserve">        6.Figures except Finance and Insurance.</t>
    <phoneticPr fontId="2"/>
  </si>
  <si>
    <t>　　　 Long-term borrowings</t>
    <phoneticPr fontId="2"/>
  </si>
  <si>
    <t>　　　 Short-term borrowings</t>
    <phoneticPr fontId="2"/>
  </si>
  <si>
    <t>2014</t>
    <phoneticPr fontId="2"/>
  </si>
  <si>
    <t>　　　　　4.Cash dividends</t>
    <phoneticPr fontId="2"/>
  </si>
  <si>
    <t>2014</t>
  </si>
  <si>
    <t>2015</t>
    <phoneticPr fontId="2"/>
  </si>
  <si>
    <t>Percent
change</t>
    <phoneticPr fontId="2"/>
  </si>
  <si>
    <t>Classification</t>
    <phoneticPr fontId="2"/>
  </si>
  <si>
    <t>Classification</t>
    <phoneticPr fontId="2"/>
  </si>
  <si>
    <t>All Industries</t>
    <phoneticPr fontId="2"/>
  </si>
  <si>
    <t>　Manufacturing</t>
    <phoneticPr fontId="2"/>
  </si>
  <si>
    <t>　Manufacturing</t>
    <phoneticPr fontId="2"/>
  </si>
  <si>
    <t>Corporations with capital of</t>
    <phoneticPr fontId="2"/>
  </si>
  <si>
    <t>Corporations with capital of</t>
    <phoneticPr fontId="2"/>
  </si>
  <si>
    <t>　1 billion yen or over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</si>
  <si>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</si>
  <si>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</si>
  <si>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</si>
  <si>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</si>
  <si>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5.Earned surplus</t>
    <phoneticPr fontId="2"/>
  </si>
  <si>
    <t>　　　　6.Value added</t>
    <phoneticPr fontId="2"/>
  </si>
  <si>
    <t xml:space="preserve">7.Investment in plant and equipment </t>
    <phoneticPr fontId="2"/>
  </si>
  <si>
    <t>8.Increases in inventories</t>
    <phoneticPr fontId="2"/>
  </si>
  <si>
    <t>9.Financial items(balance base)</t>
    <phoneticPr fontId="2"/>
  </si>
  <si>
    <t>10.Raising of funds(flow base)</t>
    <phoneticPr fontId="2"/>
  </si>
  <si>
    <t>11.Ratio of net worth</t>
    <phoneticPr fontId="2"/>
  </si>
  <si>
    <t>12. Ordinary Profits</t>
    <phoneticPr fontId="2"/>
  </si>
  <si>
    <t>　　　　　13.Cash dividends</t>
    <phoneticPr fontId="2"/>
  </si>
  <si>
    <t>　　14.Earned surplus</t>
    <phoneticPr fontId="2"/>
  </si>
  <si>
    <t>15.Investment in plant and equipment</t>
    <phoneticPr fontId="2"/>
  </si>
  <si>
    <t>16.Ratio of net worth</t>
    <phoneticPr fontId="2"/>
  </si>
  <si>
    <t>All Industries
(including Finance and Insurance)</t>
    <phoneticPr fontId="2"/>
  </si>
  <si>
    <t>Finance and Insurance</t>
    <phoneticPr fontId="2"/>
  </si>
  <si>
    <t>All Industries
(including Finance and Insurance)</t>
    <phoneticPr fontId="12"/>
  </si>
  <si>
    <t>All Industries
(including Finance and Insurance)</t>
    <phoneticPr fontId="2"/>
  </si>
  <si>
    <t xml:space="preserve">  Corporations with capital of</t>
    <phoneticPr fontId="2"/>
  </si>
  <si>
    <t>　  1 billion yen or over</t>
    <phoneticPr fontId="2"/>
  </si>
  <si>
    <t>　  100 million to 1 billion yen</t>
    <phoneticPr fontId="2"/>
  </si>
  <si>
    <t xml:space="preserve">    10 to 100 million yen</t>
    <phoneticPr fontId="2"/>
  </si>
  <si>
    <t xml:space="preserve">    under 10 million yen</t>
    <phoneticPr fontId="2"/>
  </si>
  <si>
    <t>Finance and Insurance</t>
  </si>
  <si>
    <t>　 Finance and Insurance</t>
    <phoneticPr fontId="2"/>
  </si>
  <si>
    <t>Notes　: 1 . * can not be compared because of the negative figure in the previous year.</t>
    <phoneticPr fontId="2"/>
  </si>
  <si>
    <t>Notes : 1.Ratio of net worth =</t>
    <phoneticPr fontId="2"/>
  </si>
  <si>
    <t>Notes : 1.Beginning in 2008.</t>
    <phoneticPr fontId="12"/>
  </si>
  <si>
    <t>Dividends</t>
  </si>
  <si>
    <t>Notes :  1.Beginning in 2008.</t>
    <phoneticPr fontId="2"/>
  </si>
  <si>
    <t>Notes : All Industries and Non-Manufacturing except Finance and Insurance.</t>
    <phoneticPr fontId="2"/>
  </si>
  <si>
    <t>Notes　:All Industries and Non-Manufacturing don't include Finance and Insurance.</t>
    <phoneticPr fontId="2"/>
  </si>
  <si>
    <t>Notes　: All Industries and Non-Manufacturing don't include Finance and Insurance.</t>
    <phoneticPr fontId="2"/>
  </si>
  <si>
    <t>3.</t>
    <phoneticPr fontId="2"/>
  </si>
  <si>
    <t>4.</t>
    <phoneticPr fontId="2"/>
  </si>
  <si>
    <t>5.</t>
    <phoneticPr fontId="2"/>
  </si>
  <si>
    <t>6.</t>
    <phoneticPr fontId="2"/>
  </si>
  <si>
    <t>　Non-Manufacturing</t>
    <phoneticPr fontId="2"/>
  </si>
  <si>
    <t>Notes : 1.Beginning in 2008.</t>
    <phoneticPr fontId="2"/>
  </si>
  <si>
    <t xml:space="preserve">        2.Net profits for the period = ordinary profits + special profits - special losses - corporation tax and inhabitants' tax and enterprise tax - tax expenses adject</t>
    <phoneticPr fontId="2"/>
  </si>
  <si>
    <t xml:space="preserve">         2.* can not be compared because of the negative figure in the previous year.</t>
    <phoneticPr fontId="2"/>
  </si>
  <si>
    <t>2015</t>
  </si>
  <si>
    <t>2016</t>
    <phoneticPr fontId="2"/>
  </si>
  <si>
    <t xml:space="preserve">        2．Figures except Finance and Insurance.</t>
    <phoneticPr fontId="2"/>
  </si>
  <si>
    <t xml:space="preserve">       </t>
    <phoneticPr fontId="2"/>
  </si>
  <si>
    <t>　　　　　Liabilities and capital</t>
    <phoneticPr fontId="2"/>
  </si>
  <si>
    <r>
      <t>Notes :</t>
    </r>
    <r>
      <rPr>
        <sz val="8"/>
        <rFont val="ＭＳ ゴシック"/>
        <family val="3"/>
        <charset val="128"/>
      </rPr>
      <t xml:space="preserve"> 2.Ratio of net worth   　＝</t>
    </r>
    <phoneticPr fontId="2"/>
  </si>
  <si>
    <t>　　 　</t>
    <phoneticPr fontId="2"/>
  </si>
  <si>
    <t xml:space="preserve"> 　　　</t>
    <phoneticPr fontId="2"/>
  </si>
  <si>
    <t xml:space="preserve">        2.Figures include investment in software. (　　):Figures exclude investment in software.   </t>
    <phoneticPr fontId="2"/>
  </si>
  <si>
    <t>2017</t>
    <phoneticPr fontId="2"/>
  </si>
  <si>
    <t>2016</t>
  </si>
  <si>
    <t>2017</t>
  </si>
  <si>
    <t>2018</t>
    <phoneticPr fontId="2"/>
  </si>
  <si>
    <t>2018</t>
    <phoneticPr fontId="2"/>
  </si>
  <si>
    <t>2018</t>
    <phoneticPr fontId="2"/>
  </si>
  <si>
    <t>2014</t>
    <phoneticPr fontId="2"/>
  </si>
  <si>
    <t>2017</t>
    <phoneticPr fontId="2"/>
  </si>
  <si>
    <t>2014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</si>
</sst>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7" formatCode="#,##0_ "/>
    <numFmt numFmtId="181" formatCode="#,##0.0_ "/>
    <numFmt numFmtId="192" formatCode="0.0_ "/>
    <numFmt numFmtId="193" formatCode="#,##0;&quot;△ &quot;#,##0"/>
    <numFmt numFmtId="194" formatCode="#,##0.0;&quot;△ &quot;#,##0.0"/>
    <numFmt numFmtId="195" formatCode="\(#,##0\);\(&quot;-&quot;#,##0\)"/>
    <numFmt numFmtId="196" formatCode="\(#,##0.0\);\(&quot;-&quot;#,##0.0\)"/>
    <numFmt numFmtId="197" formatCode="0.0;&quot;△&quot;??0.0"/>
    <numFmt numFmtId="207" formatCode="\(0#,##0\)"/>
    <numFmt numFmtId="208" formatCode="\(#,##0\)"/>
    <numFmt numFmtId="212" formatCode="\(#,##0\)_ "/>
    <numFmt numFmtId="217" formatCode="0.0_);[Red]\(0.0\)"/>
    <numFmt numFmtId="219" formatCode="#,##0.0_);[Red]\(#,##0.0\)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67">
    <xf numFmtId="0" fontId="0" fillId="0" borderId="0" xfId="0">
      <alignment vertical="center"/>
    </xf>
    <xf numFmtId="0" fontId="3" fillId="0" borderId="0" xfId="15" applyFont="1" applyFill="1"/>
    <xf numFmtId="0" fontId="4" fillId="0" borderId="0" xfId="15" applyFont="1" applyFill="1"/>
    <xf numFmtId="0" fontId="4" fillId="0" borderId="0" xfId="15" applyFont="1" applyFill="1" applyAlignment="1">
      <alignment horizontal="right"/>
    </xf>
    <xf numFmtId="0" fontId="4" fillId="0" borderId="1" xfId="15" applyFont="1" applyBorder="1" applyAlignment="1">
      <alignment horizontal="center" wrapText="1"/>
    </xf>
    <xf numFmtId="0" fontId="5" fillId="0" borderId="2" xfId="15" applyFont="1" applyFill="1" applyBorder="1" applyAlignment="1">
      <alignment horizontal="left"/>
    </xf>
    <xf numFmtId="177" fontId="5" fillId="0" borderId="3" xfId="15" applyNumberFormat="1" applyFont="1" applyBorder="1" applyAlignment="1">
      <alignment horizontal="right" shrinkToFit="1"/>
    </xf>
    <xf numFmtId="181" fontId="5" fillId="0" borderId="3" xfId="15" applyNumberFormat="1" applyFont="1" applyBorder="1" applyAlignment="1">
      <alignment horizontal="right" shrinkToFit="1"/>
    </xf>
    <xf numFmtId="0" fontId="5" fillId="0" borderId="3" xfId="15" applyFont="1" applyFill="1" applyBorder="1" applyAlignment="1">
      <alignment horizontal="left"/>
    </xf>
    <xf numFmtId="0" fontId="5" fillId="0" borderId="3" xfId="13" applyFont="1" applyFill="1" applyBorder="1" applyAlignment="1">
      <alignment horizontal="left"/>
    </xf>
    <xf numFmtId="0" fontId="4" fillId="0" borderId="0" xfId="13" applyFont="1"/>
    <xf numFmtId="0" fontId="5" fillId="0" borderId="3" xfId="15" applyFont="1" applyFill="1" applyBorder="1" applyAlignment="1"/>
    <xf numFmtId="177" fontId="5" fillId="0" borderId="2" xfId="15" applyNumberFormat="1" applyFont="1" applyBorder="1" applyAlignment="1">
      <alignment horizontal="right" shrinkToFit="1"/>
    </xf>
    <xf numFmtId="181" fontId="5" fillId="0" borderId="2" xfId="15" applyNumberFormat="1" applyFont="1" applyBorder="1" applyAlignment="1">
      <alignment horizontal="right" shrinkToFit="1"/>
    </xf>
    <xf numFmtId="0" fontId="5" fillId="0" borderId="4" xfId="15" applyFont="1" applyFill="1" applyBorder="1" applyAlignment="1">
      <alignment horizontal="left"/>
    </xf>
    <xf numFmtId="177" fontId="5" fillId="0" borderId="4" xfId="15" applyNumberFormat="1" applyFont="1" applyBorder="1" applyAlignment="1">
      <alignment horizontal="right" shrinkToFit="1"/>
    </xf>
    <xf numFmtId="181" fontId="5" fillId="0" borderId="4" xfId="15" applyNumberFormat="1" applyFont="1" applyBorder="1" applyAlignment="1">
      <alignment horizontal="right" shrinkToFit="1"/>
    </xf>
    <xf numFmtId="49" fontId="5" fillId="0" borderId="0" xfId="15" applyNumberFormat="1" applyFont="1" applyFill="1" applyBorder="1" applyAlignment="1">
      <alignment horizontal="left"/>
    </xf>
    <xf numFmtId="0" fontId="4" fillId="0" borderId="0" xfId="15" applyFont="1" applyFill="1" applyBorder="1"/>
    <xf numFmtId="49" fontId="5" fillId="0" borderId="0" xfId="15" applyNumberFormat="1" applyFont="1" applyFill="1" applyBorder="1" applyAlignment="1">
      <alignment horizontal="center"/>
    </xf>
    <xf numFmtId="0" fontId="6" fillId="0" borderId="0" xfId="15" applyFont="1" applyFill="1" applyBorder="1"/>
    <xf numFmtId="0" fontId="5" fillId="0" borderId="0" xfId="15" applyFont="1" applyFill="1"/>
    <xf numFmtId="0" fontId="5" fillId="0" borderId="0" xfId="13" applyFont="1" applyAlignment="1"/>
    <xf numFmtId="0" fontId="5" fillId="0" borderId="0" xfId="13" applyFont="1" applyAlignment="1">
      <alignment wrapText="1"/>
    </xf>
    <xf numFmtId="0" fontId="6" fillId="0" borderId="0" xfId="15" applyFont="1" applyFill="1" applyBorder="1" applyAlignment="1"/>
    <xf numFmtId="0" fontId="7" fillId="0" borderId="0" xfId="15" applyFont="1" applyFill="1"/>
    <xf numFmtId="177" fontId="5" fillId="0" borderId="2" xfId="15" applyNumberFormat="1" applyFont="1" applyFill="1" applyBorder="1" applyAlignment="1">
      <alignment shrinkToFit="1"/>
    </xf>
    <xf numFmtId="181" fontId="5" fillId="0" borderId="2" xfId="15" applyNumberFormat="1" applyFont="1" applyBorder="1" applyAlignment="1">
      <alignment shrinkToFit="1"/>
    </xf>
    <xf numFmtId="181" fontId="5" fillId="0" borderId="3" xfId="15" applyNumberFormat="1" applyFont="1" applyBorder="1" applyAlignment="1">
      <alignment shrinkToFit="1"/>
    </xf>
    <xf numFmtId="177" fontId="5" fillId="0" borderId="3" xfId="15" applyNumberFormat="1" applyFont="1" applyBorder="1" applyAlignment="1">
      <alignment shrinkToFit="1"/>
    </xf>
    <xf numFmtId="177" fontId="5" fillId="0" borderId="4" xfId="15" applyNumberFormat="1" applyFont="1" applyBorder="1" applyAlignment="1">
      <alignment shrinkToFit="1"/>
    </xf>
    <xf numFmtId="181" fontId="5" fillId="0" borderId="4" xfId="15" applyNumberFormat="1" applyFont="1" applyBorder="1" applyAlignment="1">
      <alignment shrinkToFit="1"/>
    </xf>
    <xf numFmtId="0" fontId="5" fillId="0" borderId="0" xfId="15" applyFont="1" applyFill="1" applyBorder="1"/>
    <xf numFmtId="49" fontId="5" fillId="0" borderId="1" xfId="15" applyNumberFormat="1" applyFont="1" applyFill="1" applyBorder="1" applyAlignment="1">
      <alignment horizontal="center"/>
    </xf>
    <xf numFmtId="0" fontId="5" fillId="0" borderId="3" xfId="15" applyFont="1" applyFill="1" applyBorder="1" applyAlignment="1">
      <alignment horizontal="left" wrapText="1"/>
    </xf>
    <xf numFmtId="177" fontId="5" fillId="0" borderId="3" xfId="15" applyNumberFormat="1" applyFont="1" applyBorder="1" applyAlignment="1">
      <alignment horizontal="right" vertical="center" shrinkToFit="1"/>
    </xf>
    <xf numFmtId="181" fontId="5" fillId="0" borderId="3" xfId="15" applyNumberFormat="1" applyFont="1" applyBorder="1" applyAlignment="1">
      <alignment horizontal="right" vertical="center" shrinkToFit="1"/>
    </xf>
    <xf numFmtId="181" fontId="5" fillId="0" borderId="5" xfId="15" applyNumberFormat="1" applyFont="1" applyBorder="1" applyAlignment="1">
      <alignment horizontal="right" shrinkToFit="1"/>
    </xf>
    <xf numFmtId="181" fontId="5" fillId="0" borderId="6" xfId="15" applyNumberFormat="1" applyFont="1" applyBorder="1" applyAlignment="1">
      <alignment horizontal="right" shrinkToFit="1"/>
    </xf>
    <xf numFmtId="177" fontId="5" fillId="0" borderId="7" xfId="15" applyNumberFormat="1" applyFont="1" applyBorder="1" applyAlignment="1">
      <alignment horizontal="right" shrinkToFi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0" fontId="9" fillId="0" borderId="0" xfId="2" applyFont="1"/>
    <xf numFmtId="0" fontId="8" fillId="0" borderId="3" xfId="9" applyBorder="1" applyAlignment="1"/>
    <xf numFmtId="0" fontId="5" fillId="0" borderId="0" xfId="13" applyFont="1"/>
    <xf numFmtId="0" fontId="5" fillId="0" borderId="9" xfId="13" applyFont="1" applyFill="1" applyBorder="1" applyAlignment="1">
      <alignment horizontal="left"/>
    </xf>
    <xf numFmtId="0" fontId="5" fillId="0" borderId="0" xfId="15" applyFont="1" applyFill="1" applyAlignment="1">
      <alignment vertical="center"/>
    </xf>
    <xf numFmtId="192" fontId="5" fillId="0" borderId="2" xfId="16" applyNumberFormat="1" applyFont="1" applyBorder="1" applyAlignment="1">
      <alignment horizontal="right" shrinkToFit="1"/>
    </xf>
    <xf numFmtId="192" fontId="5" fillId="0" borderId="3" xfId="16" applyNumberFormat="1" applyFont="1" applyBorder="1" applyAlignment="1">
      <alignment horizontal="right" shrinkToFit="1"/>
    </xf>
    <xf numFmtId="192" fontId="5" fillId="0" borderId="4" xfId="16" applyNumberFormat="1" applyFont="1" applyBorder="1" applyAlignment="1">
      <alignment horizontal="right" shrinkToFit="1"/>
    </xf>
    <xf numFmtId="181" fontId="5" fillId="0" borderId="2" xfId="15" applyNumberFormat="1" applyFont="1" applyFill="1" applyBorder="1" applyAlignment="1">
      <alignment horizontal="center" shrinkToFit="1"/>
    </xf>
    <xf numFmtId="181" fontId="5" fillId="0" borderId="3" xfId="15" applyNumberFormat="1" applyFont="1" applyBorder="1" applyAlignment="1">
      <alignment horizontal="center" shrinkToFit="1"/>
    </xf>
    <xf numFmtId="181" fontId="5" fillId="0" borderId="4" xfId="15" applyNumberFormat="1" applyFont="1" applyBorder="1" applyAlignment="1">
      <alignment horizontal="center" shrinkToFit="1"/>
    </xf>
    <xf numFmtId="0" fontId="10" fillId="0" borderId="0" xfId="2" applyFont="1" applyAlignment="1">
      <alignment horizontal="right" vertical="center"/>
    </xf>
    <xf numFmtId="0" fontId="9" fillId="0" borderId="5" xfId="2" applyFont="1" applyBorder="1" applyAlignment="1">
      <alignment horizontal="left" vertical="center"/>
    </xf>
    <xf numFmtId="0" fontId="9" fillId="0" borderId="9" xfId="2" applyFont="1" applyFill="1" applyBorder="1"/>
    <xf numFmtId="0" fontId="9" fillId="0" borderId="10" xfId="2" applyFont="1" applyFill="1" applyBorder="1"/>
    <xf numFmtId="177" fontId="13" fillId="0" borderId="0" xfId="2" applyNumberFormat="1" applyFont="1" applyFill="1" applyBorder="1" applyAlignment="1">
      <alignment vertical="center"/>
    </xf>
    <xf numFmtId="181" fontId="11" fillId="0" borderId="3" xfId="2" applyNumberFormat="1" applyFont="1" applyFill="1" applyBorder="1" applyAlignment="1">
      <alignment horizontal="right" vertical="center"/>
    </xf>
    <xf numFmtId="0" fontId="9" fillId="0" borderId="0" xfId="2" applyFont="1" applyFill="1" applyBorder="1" applyAlignment="1">
      <alignment shrinkToFit="1"/>
    </xf>
    <xf numFmtId="0" fontId="9" fillId="0" borderId="6" xfId="2" applyFont="1" applyFill="1" applyBorder="1" applyAlignment="1">
      <alignment vertical="top" textRotation="255" wrapText="1"/>
    </xf>
    <xf numFmtId="0" fontId="9" fillId="0" borderId="5" xfId="2" applyFont="1" applyFill="1" applyBorder="1"/>
    <xf numFmtId="177" fontId="13" fillId="0" borderId="11" xfId="2" applyNumberFormat="1" applyFont="1" applyFill="1" applyBorder="1" applyAlignment="1">
      <alignment vertical="center"/>
    </xf>
    <xf numFmtId="181" fontId="11" fillId="0" borderId="2" xfId="2" applyNumberFormat="1" applyFont="1" applyFill="1" applyBorder="1" applyAlignment="1">
      <alignment horizontal="right" vertical="center"/>
    </xf>
    <xf numFmtId="0" fontId="9" fillId="0" borderId="9" xfId="2" applyFont="1" applyFill="1" applyBorder="1" applyAlignment="1">
      <alignment vertical="top" textRotation="255" wrapText="1"/>
    </xf>
    <xf numFmtId="0" fontId="9" fillId="0" borderId="0" xfId="2" applyFont="1" applyFill="1" applyBorder="1" applyAlignment="1">
      <alignment vertical="center" textRotation="255" shrinkToFit="1"/>
    </xf>
    <xf numFmtId="0" fontId="9" fillId="0" borderId="7" xfId="2" applyFont="1" applyFill="1" applyBorder="1" applyAlignment="1">
      <alignment vertical="top" textRotation="255" wrapText="1"/>
    </xf>
    <xf numFmtId="0" fontId="9" fillId="0" borderId="12" xfId="2" applyFont="1" applyBorder="1" applyAlignment="1">
      <alignment vertical="center" textRotation="255" shrinkToFit="1"/>
    </xf>
    <xf numFmtId="0" fontId="9" fillId="0" borderId="12" xfId="2" applyFont="1" applyFill="1" applyBorder="1" applyAlignment="1">
      <alignment vertical="center" textRotation="255" shrinkToFit="1"/>
    </xf>
    <xf numFmtId="0" fontId="9" fillId="0" borderId="13" xfId="2" applyFont="1" applyFill="1" applyBorder="1"/>
    <xf numFmtId="177" fontId="13" fillId="0" borderId="12" xfId="2" applyNumberFormat="1" applyFont="1" applyFill="1" applyBorder="1" applyAlignment="1">
      <alignment vertical="center"/>
    </xf>
    <xf numFmtId="181" fontId="11" fillId="0" borderId="4" xfId="2" applyNumberFormat="1" applyFont="1" applyFill="1" applyBorder="1" applyAlignment="1">
      <alignment horizontal="right" vertical="center"/>
    </xf>
    <xf numFmtId="0" fontId="9" fillId="0" borderId="7" xfId="2" applyFont="1" applyBorder="1" applyAlignment="1">
      <alignment vertical="top" textRotation="255" wrapText="1"/>
    </xf>
    <xf numFmtId="0" fontId="13" fillId="0" borderId="0" xfId="6" applyFont="1"/>
    <xf numFmtId="49" fontId="13" fillId="0" borderId="0" xfId="6" applyNumberFormat="1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1" fillId="0" borderId="0" xfId="17" applyFont="1" applyAlignment="1">
      <alignment horizontal="left" vertical="center"/>
    </xf>
    <xf numFmtId="0" fontId="13" fillId="0" borderId="0" xfId="6" applyFont="1" applyFill="1" applyAlignment="1">
      <alignment vertical="center"/>
    </xf>
    <xf numFmtId="0" fontId="5" fillId="0" borderId="0" xfId="16" applyFont="1" applyFill="1"/>
    <xf numFmtId="0" fontId="14" fillId="0" borderId="0" xfId="12" applyFont="1" applyFill="1" applyAlignment="1"/>
    <xf numFmtId="0" fontId="5" fillId="0" borderId="0" xfId="16" applyFont="1" applyFill="1" applyAlignment="1">
      <alignment horizontal="right"/>
    </xf>
    <xf numFmtId="0" fontId="4" fillId="0" borderId="14" xfId="16" applyFont="1" applyBorder="1" applyAlignment="1">
      <alignment horizontal="center" vertical="center" wrapText="1"/>
    </xf>
    <xf numFmtId="0" fontId="5" fillId="0" borderId="0" xfId="16" applyFont="1" applyFill="1" applyBorder="1" applyAlignment="1">
      <alignment vertical="center"/>
    </xf>
    <xf numFmtId="193" fontId="5" fillId="0" borderId="15" xfId="16" applyNumberFormat="1" applyFont="1" applyBorder="1" applyAlignment="1">
      <alignment horizontal="right" vertical="center" shrinkToFit="1"/>
    </xf>
    <xf numFmtId="194" fontId="5" fillId="0" borderId="16" xfId="16" applyNumberFormat="1" applyFont="1" applyBorder="1" applyAlignment="1">
      <alignment vertical="center" shrinkToFit="1"/>
    </xf>
    <xf numFmtId="0" fontId="5" fillId="0" borderId="0" xfId="16" applyFont="1" applyFill="1" applyAlignment="1">
      <alignment vertical="center"/>
    </xf>
    <xf numFmtId="0" fontId="5" fillId="0" borderId="15" xfId="16" applyFont="1" applyFill="1" applyBorder="1" applyAlignment="1">
      <alignment vertical="center"/>
    </xf>
    <xf numFmtId="177" fontId="5" fillId="0" borderId="15" xfId="16" applyNumberFormat="1" applyFont="1" applyBorder="1" applyAlignment="1">
      <alignment horizontal="right" vertical="center" shrinkToFit="1"/>
    </xf>
    <xf numFmtId="181" fontId="5" fillId="0" borderId="16" xfId="16" applyNumberFormat="1" applyFont="1" applyBorder="1" applyAlignment="1">
      <alignment horizontal="right" vertical="center" shrinkToFit="1"/>
    </xf>
    <xf numFmtId="0" fontId="5" fillId="0" borderId="17" xfId="16" applyFont="1" applyFill="1" applyBorder="1" applyAlignment="1">
      <alignment vertical="center"/>
    </xf>
    <xf numFmtId="0" fontId="5" fillId="0" borderId="8" xfId="16" applyFont="1" applyFill="1" applyBorder="1" applyAlignment="1">
      <alignment vertical="center"/>
    </xf>
    <xf numFmtId="177" fontId="5" fillId="0" borderId="17" xfId="16" applyNumberFormat="1" applyFont="1" applyBorder="1" applyAlignment="1">
      <alignment horizontal="right" vertical="center" shrinkToFit="1"/>
    </xf>
    <xf numFmtId="181" fontId="5" fillId="0" borderId="18" xfId="16" applyNumberFormat="1" applyFont="1" applyBorder="1" applyAlignment="1">
      <alignment horizontal="right" vertical="center" shrinkToFit="1"/>
    </xf>
    <xf numFmtId="0" fontId="5" fillId="0" borderId="8" xfId="3" applyFont="1" applyFill="1" applyBorder="1" applyAlignment="1">
      <alignment vertical="center"/>
    </xf>
    <xf numFmtId="49" fontId="5" fillId="0" borderId="0" xfId="16" applyNumberFormat="1" applyFont="1" applyFill="1" applyBorder="1" applyAlignment="1">
      <alignment horizontal="center" vertical="center"/>
    </xf>
    <xf numFmtId="0" fontId="5" fillId="0" borderId="0" xfId="16" applyFont="1" applyFill="1" applyBorder="1"/>
    <xf numFmtId="49" fontId="5" fillId="0" borderId="0" xfId="16" applyNumberFormat="1" applyFont="1" applyFill="1" applyBorder="1" applyAlignment="1">
      <alignment horizontal="center"/>
    </xf>
    <xf numFmtId="0" fontId="8" fillId="0" borderId="0" xfId="4"/>
    <xf numFmtId="0" fontId="15" fillId="0" borderId="0" xfId="4" applyFont="1"/>
    <xf numFmtId="0" fontId="15" fillId="0" borderId="0" xfId="4" applyFont="1" applyFill="1" applyBorder="1"/>
    <xf numFmtId="0" fontId="15" fillId="0" borderId="0" xfId="4" applyFont="1" applyBorder="1" applyAlignment="1">
      <alignment horizontal="right" vertical="center"/>
    </xf>
    <xf numFmtId="0" fontId="9" fillId="0" borderId="19" xfId="16" applyNumberFormat="1" applyFont="1" applyFill="1" applyBorder="1" applyAlignment="1"/>
    <xf numFmtId="0" fontId="9" fillId="0" borderId="15" xfId="4" applyFont="1" applyFill="1" applyBorder="1"/>
    <xf numFmtId="0" fontId="13" fillId="0" borderId="0" xfId="4" applyFont="1" applyFill="1" applyBorder="1"/>
    <xf numFmtId="177" fontId="13" fillId="0" borderId="16" xfId="4" applyNumberFormat="1" applyFont="1" applyFill="1" applyBorder="1" applyAlignment="1">
      <alignment vertical="center"/>
    </xf>
    <xf numFmtId="181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 applyAlignment="1">
      <alignment horizontal="left" vertical="center" wrapText="1"/>
    </xf>
    <xf numFmtId="195" fontId="13" fillId="0" borderId="16" xfId="4" applyNumberFormat="1" applyFont="1" applyFill="1" applyBorder="1" applyAlignment="1">
      <alignment vertical="center"/>
    </xf>
    <xf numFmtId="196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/>
    <xf numFmtId="0" fontId="9" fillId="0" borderId="0" xfId="4" applyFont="1" applyFill="1" applyBorder="1" applyAlignment="1">
      <alignment vertical="center"/>
    </xf>
    <xf numFmtId="0" fontId="9" fillId="0" borderId="0" xfId="4" applyFont="1"/>
    <xf numFmtId="0" fontId="9" fillId="0" borderId="20" xfId="4" applyFont="1" applyFill="1" applyBorder="1" applyAlignment="1">
      <alignment vertical="top" textRotation="255" wrapText="1"/>
    </xf>
    <xf numFmtId="0" fontId="13" fillId="0" borderId="19" xfId="4" applyFont="1" applyFill="1" applyBorder="1"/>
    <xf numFmtId="193" fontId="13" fillId="0" borderId="21" xfId="4" applyNumberFormat="1" applyFont="1" applyFill="1" applyBorder="1" applyAlignment="1">
      <alignment vertical="center"/>
    </xf>
    <xf numFmtId="197" fontId="13" fillId="0" borderId="21" xfId="4" applyNumberFormat="1" applyFont="1" applyFill="1" applyBorder="1" applyAlignment="1">
      <alignment horizontal="right" vertical="center"/>
    </xf>
    <xf numFmtId="0" fontId="9" fillId="0" borderId="15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 wrapText="1"/>
    </xf>
    <xf numFmtId="0" fontId="13" fillId="0" borderId="22" xfId="4" applyFont="1" applyFill="1" applyBorder="1"/>
    <xf numFmtId="177" fontId="13" fillId="0" borderId="18" xfId="4" applyNumberFormat="1" applyFont="1" applyFill="1" applyBorder="1" applyAlignment="1">
      <alignment vertical="center"/>
    </xf>
    <xf numFmtId="193" fontId="17" fillId="0" borderId="21" xfId="4" applyNumberFormat="1" applyFont="1" applyFill="1" applyBorder="1" applyAlignment="1">
      <alignment vertical="center"/>
    </xf>
    <xf numFmtId="0" fontId="9" fillId="0" borderId="17" xfId="4" applyFont="1" applyBorder="1" applyAlignment="1">
      <alignment vertical="top" textRotation="255" wrapText="1"/>
    </xf>
    <xf numFmtId="0" fontId="9" fillId="0" borderId="8" xfId="4" applyFont="1" applyFill="1" applyBorder="1" applyAlignment="1">
      <alignment vertical="center" wrapText="1"/>
    </xf>
    <xf numFmtId="181" fontId="13" fillId="0" borderId="18" xfId="4" applyNumberFormat="1" applyFont="1" applyFill="1" applyBorder="1" applyAlignment="1">
      <alignment horizontal="right" vertical="center"/>
    </xf>
    <xf numFmtId="0" fontId="18" fillId="0" borderId="0" xfId="4" applyFont="1" applyAlignment="1"/>
    <xf numFmtId="0" fontId="16" fillId="0" borderId="0" xfId="4" applyFont="1"/>
    <xf numFmtId="0" fontId="13" fillId="0" borderId="0" xfId="4" applyFont="1" applyBorder="1" applyAlignment="1"/>
    <xf numFmtId="0" fontId="12" fillId="0" borderId="0" xfId="11" applyFont="1" applyAlignment="1"/>
    <xf numFmtId="0" fontId="12" fillId="0" borderId="0" xfId="7" applyFont="1" applyAlignment="1"/>
    <xf numFmtId="0" fontId="16" fillId="0" borderId="0" xfId="11" applyFont="1" applyAlignment="1"/>
    <xf numFmtId="0" fontId="13" fillId="0" borderId="0" xfId="10" applyFont="1" applyAlignment="1">
      <alignment vertical="center"/>
    </xf>
    <xf numFmtId="0" fontId="16" fillId="0" borderId="0" xfId="11" applyFont="1" applyAlignment="1">
      <alignment vertical="center"/>
    </xf>
    <xf numFmtId="0" fontId="13" fillId="0" borderId="0" xfId="15" applyFont="1" applyFill="1" applyBorder="1" applyAlignment="1">
      <alignment vertical="center"/>
    </xf>
    <xf numFmtId="0" fontId="13" fillId="0" borderId="0" xfId="11" applyFont="1" applyAlignment="1"/>
    <xf numFmtId="0" fontId="16" fillId="0" borderId="0" xfId="11" applyFont="1"/>
    <xf numFmtId="0" fontId="13" fillId="0" borderId="0" xfId="6" applyFont="1" applyAlignment="1">
      <alignment horizontal="left" vertical="center"/>
    </xf>
    <xf numFmtId="0" fontId="16" fillId="0" borderId="0" xfId="11" applyFont="1" applyAlignment="1">
      <alignment horizontal="left" vertical="center"/>
    </xf>
    <xf numFmtId="49" fontId="13" fillId="0" borderId="0" xfId="7" applyNumberFormat="1" applyFont="1" applyBorder="1" applyAlignment="1">
      <alignment horizontal="left" vertical="center"/>
    </xf>
    <xf numFmtId="0" fontId="20" fillId="0" borderId="0" xfId="5" applyFont="1" applyFill="1" applyBorder="1" applyAlignment="1">
      <alignment vertical="top"/>
    </xf>
    <xf numFmtId="0" fontId="8" fillId="0" borderId="0" xfId="5" applyFont="1" applyBorder="1"/>
    <xf numFmtId="0" fontId="10" fillId="0" borderId="0" xfId="5" applyFont="1"/>
    <xf numFmtId="0" fontId="10" fillId="0" borderId="0" xfId="5" applyFont="1" applyFill="1" applyBorder="1"/>
    <xf numFmtId="0" fontId="10" fillId="0" borderId="0" xfId="5" applyFont="1" applyAlignment="1">
      <alignment horizontal="right" vertical="center"/>
    </xf>
    <xf numFmtId="0" fontId="10" fillId="0" borderId="0" xfId="5" applyFont="1" applyBorder="1"/>
    <xf numFmtId="0" fontId="21" fillId="0" borderId="0" xfId="5" applyFont="1" applyBorder="1" applyAlignment="1">
      <alignment vertical="center"/>
    </xf>
    <xf numFmtId="0" fontId="9" fillId="0" borderId="20" xfId="5" applyFont="1" applyFill="1" applyBorder="1"/>
    <xf numFmtId="0" fontId="9" fillId="0" borderId="23" xfId="5" applyFont="1" applyFill="1" applyBorder="1"/>
    <xf numFmtId="181" fontId="9" fillId="0" borderId="21" xfId="5" applyNumberFormat="1" applyFont="1" applyFill="1" applyBorder="1" applyAlignment="1">
      <alignment horizontal="right" vertical="center"/>
    </xf>
    <xf numFmtId="0" fontId="22" fillId="0" borderId="0" xfId="5" applyFont="1" applyBorder="1" applyAlignment="1">
      <alignment vertical="center"/>
    </xf>
    <xf numFmtId="181" fontId="9" fillId="0" borderId="18" xfId="5" applyNumberFormat="1" applyFont="1" applyFill="1" applyBorder="1" applyAlignment="1">
      <alignment horizontal="right" vertical="center"/>
    </xf>
    <xf numFmtId="197" fontId="21" fillId="0" borderId="0" xfId="5" applyNumberFormat="1" applyFont="1" applyFill="1" applyBorder="1" applyAlignment="1">
      <alignment horizontal="right" vertical="center"/>
    </xf>
    <xf numFmtId="0" fontId="9" fillId="0" borderId="20" xfId="5" applyFont="1" applyFill="1" applyBorder="1" applyAlignment="1">
      <alignment vertical="top" textRotation="255" wrapText="1"/>
    </xf>
    <xf numFmtId="0" fontId="9" fillId="0" borderId="19" xfId="5" applyFont="1" applyFill="1" applyBorder="1"/>
    <xf numFmtId="0" fontId="9" fillId="0" borderId="15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center"/>
    </xf>
    <xf numFmtId="0" fontId="9" fillId="0" borderId="0" xfId="5" applyFont="1" applyFill="1" applyBorder="1"/>
    <xf numFmtId="181" fontId="9" fillId="0" borderId="16" xfId="5" applyNumberFormat="1" applyFont="1" applyFill="1" applyBorder="1" applyAlignment="1">
      <alignment horizontal="right" vertical="center"/>
    </xf>
    <xf numFmtId="0" fontId="9" fillId="0" borderId="8" xfId="5" applyFont="1" applyBorder="1" applyAlignment="1">
      <alignment vertical="top" textRotation="255" wrapText="1"/>
    </xf>
    <xf numFmtId="0" fontId="9" fillId="0" borderId="8" xfId="5" applyFont="1" applyBorder="1" applyAlignment="1">
      <alignment vertical="center"/>
    </xf>
    <xf numFmtId="0" fontId="9" fillId="0" borderId="22" xfId="5" applyFont="1" applyFill="1" applyBorder="1"/>
    <xf numFmtId="0" fontId="9" fillId="0" borderId="17" xfId="5" applyFont="1" applyBorder="1" applyAlignment="1">
      <alignment vertical="top" textRotation="255" wrapText="1"/>
    </xf>
    <xf numFmtId="0" fontId="5" fillId="0" borderId="0" xfId="5" applyFont="1"/>
    <xf numFmtId="0" fontId="5" fillId="0" borderId="0" xfId="5" applyFont="1" applyBorder="1" applyAlignment="1"/>
    <xf numFmtId="0" fontId="16" fillId="0" borderId="0" xfId="11" applyFont="1" applyBorder="1"/>
    <xf numFmtId="0" fontId="13" fillId="0" borderId="0" xfId="11" applyFont="1"/>
    <xf numFmtId="0" fontId="8" fillId="0" borderId="0" xfId="8" applyFont="1"/>
    <xf numFmtId="0" fontId="21" fillId="0" borderId="0" xfId="5" applyFont="1" applyBorder="1" applyAlignment="1"/>
    <xf numFmtId="0" fontId="21" fillId="0" borderId="0" xfId="5" applyFont="1" applyFill="1" applyBorder="1" applyAlignment="1">
      <alignment vertical="center"/>
    </xf>
    <xf numFmtId="181" fontId="5" fillId="0" borderId="13" xfId="15" applyNumberFormat="1" applyFont="1" applyBorder="1" applyAlignment="1">
      <alignment horizontal="right" shrinkToFit="1"/>
    </xf>
    <xf numFmtId="0" fontId="4" fillId="0" borderId="2" xfId="15" applyFont="1" applyFill="1" applyBorder="1"/>
    <xf numFmtId="0" fontId="5" fillId="0" borderId="1" xfId="15" applyFont="1" applyFill="1" applyBorder="1" applyAlignment="1">
      <alignment horizontal="left" wrapText="1"/>
    </xf>
    <xf numFmtId="181" fontId="5" fillId="0" borderId="1" xfId="15" applyNumberFormat="1" applyFont="1" applyBorder="1" applyAlignment="1">
      <alignment horizontal="right" shrinkToFit="1"/>
    </xf>
    <xf numFmtId="0" fontId="5" fillId="0" borderId="1" xfId="15" applyFont="1" applyFill="1" applyBorder="1" applyAlignment="1">
      <alignment horizontal="left"/>
    </xf>
    <xf numFmtId="49" fontId="13" fillId="0" borderId="0" xfId="7" applyNumberFormat="1" applyFont="1" applyAlignment="1">
      <alignment horizontal="left" vertical="center"/>
    </xf>
    <xf numFmtId="49" fontId="8" fillId="0" borderId="0" xfId="4" applyNumberFormat="1"/>
    <xf numFmtId="49" fontId="5" fillId="0" borderId="5" xfId="15" applyNumberFormat="1" applyFont="1" applyFill="1" applyBorder="1" applyAlignment="1"/>
    <xf numFmtId="0" fontId="5" fillId="0" borderId="19" xfId="16" applyNumberFormat="1" applyFont="1" applyFill="1" applyBorder="1" applyAlignment="1">
      <alignment vertical="center"/>
    </xf>
    <xf numFmtId="207" fontId="5" fillId="0" borderId="3" xfId="15" applyNumberFormat="1" applyFont="1" applyBorder="1" applyAlignment="1">
      <alignment horizontal="right" shrinkToFit="1"/>
    </xf>
    <xf numFmtId="208" fontId="5" fillId="0" borderId="3" xfId="15" applyNumberFormat="1" applyFont="1" applyBorder="1" applyAlignment="1">
      <alignment horizontal="right" shrinkToFit="1"/>
    </xf>
    <xf numFmtId="0" fontId="5" fillId="0" borderId="1" xfId="15" applyNumberFormat="1" applyFont="1" applyFill="1" applyBorder="1" applyAlignment="1">
      <alignment horizontal="center"/>
    </xf>
    <xf numFmtId="217" fontId="5" fillId="0" borderId="3" xfId="15" applyNumberFormat="1" applyFont="1" applyBorder="1" applyAlignment="1">
      <alignment horizontal="right" shrinkToFit="1"/>
    </xf>
    <xf numFmtId="0" fontId="4" fillId="0" borderId="11" xfId="15" applyFont="1" applyFill="1" applyBorder="1"/>
    <xf numFmtId="212" fontId="5" fillId="0" borderId="3" xfId="15" applyNumberFormat="1" applyFont="1" applyBorder="1" applyAlignment="1">
      <alignment horizontal="right" shrinkToFit="1"/>
    </xf>
    <xf numFmtId="219" fontId="5" fillId="0" borderId="3" xfId="15" applyNumberFormat="1" applyFont="1" applyBorder="1" applyAlignment="1">
      <alignment horizontal="right" shrinkToFit="1"/>
    </xf>
    <xf numFmtId="0" fontId="17" fillId="0" borderId="0" xfId="14" applyFont="1"/>
    <xf numFmtId="0" fontId="17" fillId="0" borderId="0" xfId="12" applyFont="1"/>
    <xf numFmtId="193" fontId="5" fillId="0" borderId="0" xfId="14" applyNumberFormat="1" applyFont="1" applyBorder="1" applyAlignment="1">
      <alignment horizontal="right"/>
    </xf>
    <xf numFmtId="0" fontId="5" fillId="0" borderId="9" xfId="14" applyFont="1" applyBorder="1" applyAlignment="1">
      <alignment horizontal="left"/>
    </xf>
    <xf numFmtId="0" fontId="5" fillId="0" borderId="7" xfId="14" applyFont="1" applyBorder="1" applyAlignment="1">
      <alignment horizontal="left"/>
    </xf>
    <xf numFmtId="193" fontId="5" fillId="0" borderId="12" xfId="14" applyNumberFormat="1" applyFont="1" applyBorder="1" applyAlignment="1">
      <alignment horizontal="right"/>
    </xf>
    <xf numFmtId="0" fontId="5" fillId="0" borderId="9" xfId="14" applyFont="1" applyBorder="1" applyAlignment="1"/>
    <xf numFmtId="0" fontId="5" fillId="0" borderId="6" xfId="14" applyFont="1" applyBorder="1" applyAlignment="1"/>
    <xf numFmtId="193" fontId="5" fillId="0" borderId="2" xfId="14" applyNumberFormat="1" applyFont="1" applyBorder="1" applyAlignment="1">
      <alignment horizontal="right"/>
    </xf>
    <xf numFmtId="193" fontId="5" fillId="0" borderId="3" xfId="14" applyNumberFormat="1" applyFont="1" applyBorder="1" applyAlignment="1">
      <alignment horizontal="right"/>
    </xf>
    <xf numFmtId="193" fontId="5" fillId="0" borderId="4" xfId="14" applyNumberFormat="1" applyFont="1" applyBorder="1" applyAlignment="1">
      <alignment horizontal="right"/>
    </xf>
    <xf numFmtId="0" fontId="4" fillId="0" borderId="2" xfId="14" applyFont="1" applyBorder="1" applyAlignment="1">
      <alignment horizontal="center" wrapText="1"/>
    </xf>
    <xf numFmtId="197" fontId="24" fillId="0" borderId="2" xfId="0" applyNumberFormat="1" applyFont="1" applyFill="1" applyBorder="1" applyAlignment="1">
      <alignment horizontal="right"/>
    </xf>
    <xf numFmtId="197" fontId="24" fillId="0" borderId="4" xfId="0" applyNumberFormat="1" applyFont="1" applyFill="1" applyBorder="1" applyAlignment="1">
      <alignment horizontal="right"/>
    </xf>
    <xf numFmtId="193" fontId="5" fillId="0" borderId="11" xfId="14" applyNumberFormat="1" applyFont="1" applyBorder="1" applyAlignment="1">
      <alignment horizontal="right"/>
    </xf>
    <xf numFmtId="192" fontId="24" fillId="0" borderId="2" xfId="0" applyNumberFormat="1" applyFont="1" applyFill="1" applyBorder="1" applyAlignment="1">
      <alignment horizontal="right"/>
    </xf>
    <xf numFmtId="192" fontId="24" fillId="0" borderId="3" xfId="0" applyNumberFormat="1" applyFont="1" applyFill="1" applyBorder="1" applyAlignment="1">
      <alignment horizontal="right"/>
    </xf>
    <xf numFmtId="0" fontId="25" fillId="0" borderId="0" xfId="0" applyFont="1" applyBorder="1" applyAlignment="1">
      <alignment vertical="center" wrapText="1"/>
    </xf>
    <xf numFmtId="0" fontId="9" fillId="0" borderId="6" xfId="14" applyFont="1" applyBorder="1" applyAlignment="1">
      <alignment vertical="center" wrapText="1"/>
    </xf>
    <xf numFmtId="0" fontId="9" fillId="0" borderId="7" xfId="14" applyFont="1" applyBorder="1" applyAlignment="1">
      <alignment horizontal="left" vertical="center"/>
    </xf>
    <xf numFmtId="0" fontId="9" fillId="0" borderId="9" xfId="14" applyFont="1" applyBorder="1" applyAlignment="1">
      <alignment vertical="center" wrapText="1"/>
    </xf>
    <xf numFmtId="0" fontId="9" fillId="0" borderId="9" xfId="14" applyFont="1" applyBorder="1" applyAlignment="1">
      <alignment vertical="center"/>
    </xf>
    <xf numFmtId="0" fontId="9" fillId="0" borderId="9" xfId="14" applyFont="1" applyBorder="1" applyAlignment="1">
      <alignment horizontal="left" vertical="center"/>
    </xf>
    <xf numFmtId="0" fontId="25" fillId="0" borderId="11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5" fillId="0" borderId="5" xfId="16" applyNumberFormat="1" applyFont="1" applyFill="1" applyBorder="1" applyAlignment="1"/>
    <xf numFmtId="192" fontId="24" fillId="0" borderId="4" xfId="0" applyNumberFormat="1" applyFont="1" applyFill="1" applyBorder="1" applyAlignment="1">
      <alignment horizontal="right"/>
    </xf>
    <xf numFmtId="177" fontId="5" fillId="0" borderId="4" xfId="14" applyNumberFormat="1" applyFont="1" applyBorder="1" applyAlignment="1">
      <alignment horizontal="right"/>
    </xf>
    <xf numFmtId="177" fontId="5" fillId="0" borderId="12" xfId="14" applyNumberFormat="1" applyFont="1" applyBorder="1" applyAlignment="1">
      <alignment horizontal="right"/>
    </xf>
    <xf numFmtId="177" fontId="5" fillId="0" borderId="2" xfId="14" applyNumberFormat="1" applyFont="1" applyBorder="1" applyAlignment="1">
      <alignment horizontal="right"/>
    </xf>
    <xf numFmtId="177" fontId="5" fillId="0" borderId="3" xfId="14" applyNumberFormat="1" applyFont="1" applyBorder="1" applyAlignment="1">
      <alignment horizontal="right"/>
    </xf>
    <xf numFmtId="177" fontId="5" fillId="0" borderId="11" xfId="14" applyNumberFormat="1" applyFont="1" applyBorder="1" applyAlignment="1">
      <alignment horizontal="right"/>
    </xf>
    <xf numFmtId="177" fontId="5" fillId="0" borderId="0" xfId="14" applyNumberFormat="1" applyFont="1" applyBorder="1" applyAlignment="1">
      <alignment horizontal="right"/>
    </xf>
    <xf numFmtId="0" fontId="5" fillId="0" borderId="0" xfId="0" applyFont="1">
      <alignment vertical="center"/>
    </xf>
    <xf numFmtId="0" fontId="9" fillId="0" borderId="0" xfId="11" applyFont="1" applyAlignment="1"/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12" applyFont="1" applyFill="1" applyAlignment="1"/>
    <xf numFmtId="0" fontId="5" fillId="0" borderId="0" xfId="15" applyNumberFormat="1" applyFont="1" applyFill="1" applyBorder="1" applyAlignment="1"/>
    <xf numFmtId="0" fontId="0" fillId="0" borderId="0" xfId="0" applyNumberFormat="1" applyAlignment="1"/>
    <xf numFmtId="181" fontId="4" fillId="0" borderId="0" xfId="15" applyNumberFormat="1" applyFont="1" applyFill="1"/>
    <xf numFmtId="177" fontId="4" fillId="0" borderId="0" xfId="15" applyNumberFormat="1" applyFont="1" applyFill="1"/>
    <xf numFmtId="192" fontId="4" fillId="0" borderId="0" xfId="15" applyNumberFormat="1" applyFont="1" applyFill="1"/>
    <xf numFmtId="196" fontId="5" fillId="0" borderId="16" xfId="4" applyNumberFormat="1" applyFont="1" applyFill="1" applyBorder="1" applyAlignment="1">
      <alignment horizontal="right" vertical="center"/>
    </xf>
    <xf numFmtId="196" fontId="5" fillId="0" borderId="3" xfId="4" applyNumberFormat="1" applyFont="1" applyFill="1" applyBorder="1" applyAlignment="1">
      <alignment horizontal="right" vertical="center"/>
    </xf>
    <xf numFmtId="0" fontId="4" fillId="0" borderId="0" xfId="13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5" fillId="0" borderId="6" xfId="15" applyFont="1" applyFill="1" applyBorder="1" applyAlignment="1">
      <alignment horizontal="center" vertical="center"/>
    </xf>
    <xf numFmtId="0" fontId="5" fillId="0" borderId="9" xfId="15" applyFont="1" applyFill="1" applyBorder="1" applyAlignment="1">
      <alignment horizontal="center" vertical="center"/>
    </xf>
    <xf numFmtId="0" fontId="5" fillId="0" borderId="6" xfId="15" applyNumberFormat="1" applyFont="1" applyFill="1" applyBorder="1" applyAlignment="1">
      <alignment horizontal="center" vertical="center"/>
    </xf>
    <xf numFmtId="0" fontId="5" fillId="0" borderId="7" xfId="15" applyNumberFormat="1" applyFont="1" applyFill="1" applyBorder="1" applyAlignment="1">
      <alignment horizontal="center" vertical="center"/>
    </xf>
    <xf numFmtId="49" fontId="5" fillId="0" borderId="6" xfId="15" applyNumberFormat="1" applyFont="1" applyFill="1" applyBorder="1" applyAlignment="1">
      <alignment horizontal="center" vertical="center"/>
    </xf>
    <xf numFmtId="49" fontId="5" fillId="0" borderId="7" xfId="15" applyNumberFormat="1" applyFont="1" applyFill="1" applyBorder="1" applyAlignment="1">
      <alignment horizontal="center" vertical="center"/>
    </xf>
    <xf numFmtId="0" fontId="5" fillId="0" borderId="0" xfId="13" applyFont="1" applyAlignment="1">
      <alignment wrapText="1"/>
    </xf>
    <xf numFmtId="0" fontId="5" fillId="0" borderId="0" xfId="13" applyFont="1" applyAlignment="1"/>
    <xf numFmtId="0" fontId="5" fillId="0" borderId="0" xfId="15" applyFont="1" applyFill="1" applyBorder="1" applyAlignment="1"/>
    <xf numFmtId="49" fontId="5" fillId="0" borderId="1" xfId="15" applyNumberFormat="1" applyFont="1" applyFill="1" applyBorder="1" applyAlignment="1">
      <alignment horizontal="center"/>
    </xf>
    <xf numFmtId="49" fontId="5" fillId="0" borderId="0" xfId="15" applyNumberFormat="1" applyFont="1" applyFill="1" applyBorder="1" applyAlignment="1"/>
    <xf numFmtId="0" fontId="5" fillId="0" borderId="2" xfId="15" applyFont="1" applyFill="1" applyBorder="1" applyAlignment="1">
      <alignment horizontal="center" vertical="center"/>
    </xf>
    <xf numFmtId="0" fontId="5" fillId="0" borderId="4" xfId="15" applyFont="1" applyFill="1" applyBorder="1" applyAlignment="1">
      <alignment horizontal="center" vertical="center"/>
    </xf>
    <xf numFmtId="0" fontId="5" fillId="0" borderId="6" xfId="16" applyNumberFormat="1" applyFont="1" applyFill="1" applyBorder="1" applyAlignment="1">
      <alignment horizontal="center" vertical="center"/>
    </xf>
    <xf numFmtId="0" fontId="5" fillId="0" borderId="7" xfId="16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49" fontId="5" fillId="0" borderId="23" xfId="15" applyNumberFormat="1" applyFont="1" applyFill="1" applyBorder="1" applyAlignment="1">
      <alignment horizontal="center"/>
    </xf>
    <xf numFmtId="0" fontId="5" fillId="0" borderId="0" xfId="15" applyNumberFormat="1" applyFont="1" applyFill="1" applyBorder="1" applyAlignment="1"/>
    <xf numFmtId="0" fontId="5" fillId="0" borderId="0" xfId="13" applyNumberFormat="1" applyFont="1" applyAlignment="1"/>
    <xf numFmtId="0" fontId="0" fillId="0" borderId="0" xfId="0" applyNumberFormat="1" applyAlignment="1"/>
    <xf numFmtId="0" fontId="5" fillId="0" borderId="3" xfId="15" applyFont="1" applyFill="1" applyBorder="1" applyAlignment="1">
      <alignment horizontal="left"/>
    </xf>
    <xf numFmtId="0" fontId="8" fillId="0" borderId="3" xfId="9" applyBorder="1" applyAlignment="1"/>
    <xf numFmtId="0" fontId="5" fillId="0" borderId="2" xfId="15" applyFont="1" applyFill="1" applyBorder="1" applyAlignment="1">
      <alignment horizontal="left"/>
    </xf>
    <xf numFmtId="49" fontId="5" fillId="0" borderId="2" xfId="15" applyNumberFormat="1" applyFont="1" applyFill="1" applyBorder="1" applyAlignment="1">
      <alignment horizontal="center" vertical="center"/>
    </xf>
    <xf numFmtId="49" fontId="5" fillId="0" borderId="4" xfId="15" applyNumberFormat="1" applyFont="1" applyFill="1" applyBorder="1" applyAlignment="1">
      <alignment horizontal="center" vertical="center"/>
    </xf>
    <xf numFmtId="0" fontId="5" fillId="0" borderId="0" xfId="15" applyFont="1" applyFill="1" applyAlignment="1">
      <alignment vertical="center"/>
    </xf>
    <xf numFmtId="0" fontId="5" fillId="0" borderId="8" xfId="15" applyFont="1" applyFill="1" applyBorder="1" applyAlignment="1">
      <alignment horizontal="center"/>
    </xf>
    <xf numFmtId="0" fontId="4" fillId="0" borderId="0" xfId="15" applyFont="1" applyFill="1" applyAlignment="1">
      <alignment vertical="center"/>
    </xf>
    <xf numFmtId="0" fontId="4" fillId="0" borderId="23" xfId="15" applyFont="1" applyFill="1" applyBorder="1" applyAlignment="1">
      <alignment horizontal="center"/>
    </xf>
    <xf numFmtId="181" fontId="5" fillId="0" borderId="24" xfId="15" applyNumberFormat="1" applyFont="1" applyBorder="1" applyAlignment="1">
      <alignment horizontal="center" shrinkToFit="1"/>
    </xf>
    <xf numFmtId="181" fontId="5" fillId="0" borderId="25" xfId="15" applyNumberFormat="1" applyFont="1" applyBorder="1" applyAlignment="1">
      <alignment horizontal="center" shrinkToFit="1"/>
    </xf>
    <xf numFmtId="0" fontId="5" fillId="0" borderId="3" xfId="15" applyFont="1" applyFill="1" applyBorder="1" applyAlignment="1">
      <alignment horizontal="center" vertical="center"/>
    </xf>
    <xf numFmtId="0" fontId="5" fillId="0" borderId="0" xfId="15" applyFont="1" applyFill="1" applyBorder="1" applyAlignment="1">
      <alignment horizontal="center"/>
    </xf>
    <xf numFmtId="0" fontId="13" fillId="0" borderId="0" xfId="6" applyFont="1" applyAlignment="1">
      <alignment vertical="center" shrinkToFit="1"/>
    </xf>
    <xf numFmtId="0" fontId="9" fillId="0" borderId="0" xfId="2" applyFont="1" applyFill="1" applyBorder="1" applyAlignment="1">
      <alignment vertical="center" shrinkToFit="1"/>
    </xf>
    <xf numFmtId="0" fontId="9" fillId="0" borderId="12" xfId="2" applyFont="1" applyBorder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9" fillId="0" borderId="0" xfId="2" applyFont="1" applyFill="1" applyBorder="1" applyAlignment="1">
      <alignment horizontal="left" vertical="center" shrinkToFit="1"/>
    </xf>
    <xf numFmtId="0" fontId="9" fillId="0" borderId="11" xfId="2" applyFont="1" applyFill="1" applyBorder="1" applyAlignment="1">
      <alignment vertical="center" wrapText="1" shrinkToFit="1"/>
    </xf>
    <xf numFmtId="0" fontId="9" fillId="0" borderId="11" xfId="2" applyFont="1" applyFill="1" applyBorder="1" applyAlignment="1">
      <alignment vertical="center" shrinkToFit="1"/>
    </xf>
    <xf numFmtId="0" fontId="11" fillId="0" borderId="2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9" fillId="0" borderId="0" xfId="2" applyFont="1" applyFill="1" applyBorder="1" applyAlignment="1">
      <alignment vertical="center" wrapText="1" shrinkToFit="1"/>
    </xf>
    <xf numFmtId="49" fontId="9" fillId="0" borderId="6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center" vertical="center"/>
    </xf>
    <xf numFmtId="0" fontId="10" fillId="0" borderId="12" xfId="2" applyFont="1" applyBorder="1" applyAlignment="1">
      <alignment horizontal="right" vertical="center"/>
    </xf>
    <xf numFmtId="0" fontId="3" fillId="0" borderId="0" xfId="2" applyFont="1" applyFill="1" applyAlignment="1">
      <alignment horizontal="center" vertical="top"/>
    </xf>
    <xf numFmtId="0" fontId="9" fillId="0" borderId="6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3" fillId="0" borderId="0" xfId="12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20" xfId="16" applyFont="1" applyFill="1" applyBorder="1" applyAlignment="1">
      <alignment horizontal="center" vertical="center" wrapText="1"/>
    </xf>
    <xf numFmtId="0" fontId="5" fillId="0" borderId="23" xfId="16" applyFont="1" applyFill="1" applyBorder="1" applyAlignment="1">
      <alignment horizontal="center" vertical="center" wrapText="1"/>
    </xf>
    <xf numFmtId="0" fontId="5" fillId="0" borderId="19" xfId="16" applyFont="1" applyFill="1" applyBorder="1" applyAlignment="1">
      <alignment horizontal="center" vertical="center" wrapText="1"/>
    </xf>
    <xf numFmtId="0" fontId="5" fillId="0" borderId="17" xfId="16" applyFont="1" applyFill="1" applyBorder="1" applyAlignment="1">
      <alignment horizontal="center" vertical="center" wrapText="1"/>
    </xf>
    <xf numFmtId="0" fontId="5" fillId="0" borderId="8" xfId="16" applyFont="1" applyFill="1" applyBorder="1" applyAlignment="1">
      <alignment horizontal="center" vertical="center" wrapText="1"/>
    </xf>
    <xf numFmtId="0" fontId="5" fillId="0" borderId="22" xfId="16" applyFont="1" applyFill="1" applyBorder="1" applyAlignment="1">
      <alignment horizontal="center" vertical="center" wrapText="1"/>
    </xf>
    <xf numFmtId="0" fontId="5" fillId="0" borderId="20" xfId="16" applyNumberFormat="1" applyFont="1" applyFill="1" applyBorder="1" applyAlignment="1">
      <alignment horizontal="center" vertical="center"/>
    </xf>
    <xf numFmtId="0" fontId="5" fillId="0" borderId="17" xfId="16" applyNumberFormat="1" applyFont="1" applyFill="1" applyBorder="1" applyAlignment="1">
      <alignment horizontal="center" vertical="center"/>
    </xf>
    <xf numFmtId="0" fontId="4" fillId="0" borderId="8" xfId="16" applyFont="1" applyFill="1" applyBorder="1" applyAlignment="1">
      <alignment horizontal="right"/>
    </xf>
    <xf numFmtId="0" fontId="5" fillId="0" borderId="20" xfId="3" applyFont="1" applyFill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0" fontId="5" fillId="0" borderId="0" xfId="3" applyFont="1" applyFill="1" applyBorder="1" applyAlignment="1">
      <alignment vertical="center"/>
    </xf>
    <xf numFmtId="0" fontId="5" fillId="0" borderId="15" xfId="3" applyFont="1" applyFill="1" applyBorder="1" applyAlignment="1">
      <alignment horizontal="left" vertical="center" wrapText="1"/>
    </xf>
    <xf numFmtId="0" fontId="5" fillId="0" borderId="0" xfId="3" applyFont="1" applyBorder="1" applyAlignment="1">
      <alignment horizontal="left" vertical="center" wrapText="1"/>
    </xf>
    <xf numFmtId="0" fontId="13" fillId="0" borderId="0" xfId="11" applyFont="1" applyAlignment="1">
      <alignment vertical="center" shrinkToFit="1"/>
    </xf>
    <xf numFmtId="0" fontId="13" fillId="0" borderId="0" xfId="7" applyFont="1" applyAlignment="1">
      <alignment vertical="center" shrinkToFit="1"/>
    </xf>
    <xf numFmtId="0" fontId="1" fillId="0" borderId="0" xfId="17" applyFont="1" applyAlignment="1">
      <alignment vertical="center"/>
    </xf>
    <xf numFmtId="0" fontId="9" fillId="0" borderId="8" xfId="4" applyFont="1" applyBorder="1" applyAlignment="1">
      <alignment vertical="center" wrapText="1"/>
    </xf>
    <xf numFmtId="0" fontId="12" fillId="0" borderId="0" xfId="11" applyFont="1" applyAlignment="1">
      <alignment vertical="center"/>
    </xf>
    <xf numFmtId="0" fontId="12" fillId="0" borderId="0" xfId="7" applyFont="1" applyAlignment="1">
      <alignment vertical="center"/>
    </xf>
    <xf numFmtId="0" fontId="13" fillId="0" borderId="0" xfId="11" applyFont="1" applyAlignment="1">
      <alignment vertical="center"/>
    </xf>
    <xf numFmtId="0" fontId="13" fillId="0" borderId="0" xfId="10" applyFont="1" applyAlignment="1">
      <alignment vertical="center"/>
    </xf>
    <xf numFmtId="0" fontId="13" fillId="0" borderId="0" xfId="11" applyFont="1" applyAlignment="1">
      <alignment vertical="center" wrapText="1"/>
    </xf>
    <xf numFmtId="0" fontId="13" fillId="0" borderId="0" xfId="13" applyFont="1" applyAlignment="1">
      <alignment horizontal="left" vertical="center"/>
    </xf>
    <xf numFmtId="0" fontId="1" fillId="0" borderId="0" xfId="17" applyFont="1" applyAlignment="1">
      <alignment horizontal="left" vertical="center"/>
    </xf>
    <xf numFmtId="0" fontId="9" fillId="0" borderId="0" xfId="4" applyFont="1" applyFill="1" applyBorder="1" applyAlignment="1">
      <alignment vertical="center" wrapText="1"/>
    </xf>
    <xf numFmtId="0" fontId="9" fillId="0" borderId="23" xfId="4" applyFont="1" applyFill="1" applyBorder="1" applyAlignment="1">
      <alignment vertical="center" wrapText="1"/>
    </xf>
    <xf numFmtId="0" fontId="9" fillId="0" borderId="0" xfId="4" applyFont="1" applyFill="1" applyBorder="1" applyAlignment="1">
      <alignment horizontal="left" vertical="center" shrinkToFit="1"/>
    </xf>
    <xf numFmtId="0" fontId="9" fillId="0" borderId="20" xfId="16" applyNumberFormat="1" applyFont="1" applyFill="1" applyBorder="1" applyAlignment="1">
      <alignment horizontal="center" vertical="center"/>
    </xf>
    <xf numFmtId="0" fontId="9" fillId="0" borderId="15" xfId="16" applyNumberFormat="1" applyFont="1" applyFill="1" applyBorder="1" applyAlignment="1">
      <alignment horizontal="center" vertical="center"/>
    </xf>
    <xf numFmtId="0" fontId="9" fillId="0" borderId="17" xfId="16" applyNumberFormat="1" applyFont="1" applyFill="1" applyBorder="1" applyAlignment="1">
      <alignment horizontal="center" vertical="center"/>
    </xf>
    <xf numFmtId="0" fontId="9" fillId="0" borderId="20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0" fontId="9" fillId="0" borderId="26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11" fillId="0" borderId="21" xfId="4" applyFont="1" applyBorder="1" applyAlignment="1">
      <alignment horizontal="center" vertical="center" wrapText="1"/>
    </xf>
    <xf numFmtId="0" fontId="11" fillId="0" borderId="18" xfId="4" applyFont="1" applyBorder="1" applyAlignment="1">
      <alignment horizontal="center" vertical="center" wrapText="1"/>
    </xf>
    <xf numFmtId="0" fontId="1" fillId="0" borderId="18" xfId="4" applyFont="1" applyBorder="1" applyAlignment="1">
      <alignment horizontal="center" vertical="center"/>
    </xf>
    <xf numFmtId="0" fontId="9" fillId="0" borderId="23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vertical="center" shrinkToFit="1"/>
    </xf>
    <xf numFmtId="0" fontId="9" fillId="0" borderId="0" xfId="15" applyFont="1" applyFill="1" applyBorder="1" applyAlignment="1">
      <alignment horizontal="center"/>
    </xf>
    <xf numFmtId="0" fontId="9" fillId="0" borderId="0" xfId="15" applyFont="1" applyFill="1" applyAlignment="1">
      <alignment vertical="center"/>
    </xf>
    <xf numFmtId="0" fontId="9" fillId="0" borderId="0" xfId="15" applyFont="1" applyFill="1" applyAlignment="1">
      <alignment horizontal="center"/>
    </xf>
    <xf numFmtId="0" fontId="9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0" fontId="23" fillId="0" borderId="0" xfId="11" applyFont="1" applyAlignment="1">
      <alignment vertical="center"/>
    </xf>
    <xf numFmtId="0" fontId="8" fillId="0" borderId="0" xfId="8" applyFont="1" applyAlignment="1">
      <alignment vertical="center"/>
    </xf>
    <xf numFmtId="0" fontId="8" fillId="0" borderId="0" xfId="8" applyFont="1" applyAlignment="1"/>
    <xf numFmtId="0" fontId="10" fillId="0" borderId="0" xfId="8" applyFont="1" applyAlignment="1">
      <alignment vertical="center"/>
    </xf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5" applyFont="1" applyFill="1" applyBorder="1" applyAlignment="1">
      <alignment vertical="center"/>
    </xf>
    <xf numFmtId="0" fontId="9" fillId="0" borderId="8" xfId="5" applyFont="1" applyFill="1" applyBorder="1" applyAlignment="1">
      <alignment vertical="center"/>
    </xf>
    <xf numFmtId="0" fontId="9" fillId="0" borderId="23" xfId="5" applyFont="1" applyFill="1" applyBorder="1" applyAlignment="1">
      <alignment vertical="center"/>
    </xf>
    <xf numFmtId="0" fontId="19" fillId="0" borderId="0" xfId="12" applyFont="1" applyFill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22" xfId="5" applyFont="1" applyBorder="1" applyAlignment="1">
      <alignment horizontal="center" vertical="center" wrapText="1"/>
    </xf>
    <xf numFmtId="0" fontId="9" fillId="0" borderId="23" xfId="5" applyFont="1" applyFill="1" applyBorder="1" applyAlignment="1">
      <alignment horizontal="left" vertical="center" wrapText="1"/>
    </xf>
    <xf numFmtId="0" fontId="9" fillId="0" borderId="21" xfId="16" applyNumberFormat="1" applyFont="1" applyFill="1" applyBorder="1" applyAlignment="1">
      <alignment horizontal="center" vertical="center"/>
    </xf>
    <xf numFmtId="0" fontId="9" fillId="0" borderId="18" xfId="16" applyNumberFormat="1" applyFont="1" applyFill="1" applyBorder="1" applyAlignment="1">
      <alignment horizontal="center" vertical="center"/>
    </xf>
  </cellXfs>
  <cellStyles count="18">
    <cellStyle name="Normal" xfId="0" builtinId="0"/>
    <cellStyle name="標準 2" xfId="1" xr:uid="{662C9604-E738-4FF7-A4C3-D512EDCA6AE7}"/>
    <cellStyle name="標準_A22201" xfId="2" xr:uid="{D171C285-F56C-4D48-BB8E-8A52DE0C6656}"/>
    <cellStyle name="標準_A22301" xfId="3" xr:uid="{ECF7159B-98D5-4E6A-8BDB-AC5DC2606E1F}"/>
    <cellStyle name="標準_A22401" xfId="4" xr:uid="{CF0B06C1-9DF9-40C4-9EC5-24AD3558FDCE}"/>
    <cellStyle name="標準_A22501" xfId="5" xr:uid="{873DDEAE-5ECD-409D-90A6-CB0387C77F3E}"/>
    <cellStyle name="標準_A30101" xfId="6" xr:uid="{AEEF8199-4DC3-4D27-A4CD-80E65A006CD6}"/>
    <cellStyle name="標準_A30201" xfId="7" xr:uid="{69BD0496-4B54-4D38-828B-056E8E11EC7F}"/>
    <cellStyle name="標準_A30301" xfId="8" xr:uid="{A0080DAD-2CF1-4FF3-81FE-20B09CBD990F}"/>
    <cellStyle name="標準_B24001" xfId="9" xr:uid="{2161F62B-4050-4004-8ABC-9E7B60DF7085}"/>
    <cellStyle name="標準_h19e" xfId="10" xr:uid="{A57A1B45-A1E2-400D-84C1-59A25827FD1E}"/>
    <cellStyle name="標準_報道発表資料（英語版）" xfId="17" xr:uid="{1697641E-8BA2-4265-BFC7-27F9184C0D28}"/>
    <cellStyle name="標準_帳票レイアウト(パターンA)_帳票元" xfId="12" xr:uid="{793712D1-10D9-43A8-A1E3-0F39FF166211}"/>
    <cellStyle name="標準_帳票レイアウト(季報新聞発表用_日本語)" xfId="14" xr:uid="{DDF6786F-0EF3-47AB-B502-A68AD35FEEDA}"/>
    <cellStyle name="標準_帳票レイアウト(季報新聞発表用_英語)" xfId="13" xr:uid="{A15770F3-B281-41B4-8B38-DE83A170F165}"/>
    <cellStyle name="標準_帳票レイアウト(年報新聞発表用_日本語)" xfId="16" xr:uid="{ED1D696F-CE87-4035-B5D3-DBD8109D48A8}"/>
    <cellStyle name="標準_帳票レイアウト(年報新聞発表用_英語)" xfId="15" xr:uid="{8A9EC6CB-E925-49BA-B85B-844A776B9500}"/>
    <cellStyle name="標準_経常利益、設備投資、自己資本比率" xfId="11" xr:uid="{D7D9F732-78F0-4909-BA53-CBF9B27964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21</xdr:row>
      <xdr:rowOff>0</xdr:rowOff>
    </xdr:from>
    <xdr:to>
      <xdr:col>15</xdr:col>
      <xdr:colOff>1060450</xdr:colOff>
      <xdr:row>21</xdr:row>
      <xdr:rowOff>0</xdr:rowOff>
    </xdr:to>
    <xdr:sp macro="" textlink="">
      <xdr:nvSpPr>
        <xdr:cNvPr id="1277" name="Line 1">
          <a:extLst>
            <a:ext uri="{FF2B5EF4-FFF2-40B4-BE49-F238E27FC236}">
              <a16:creationId xmlns:a16="http://schemas.microsoft.com/office/drawing/2014/main" id="{B8275FF7-B834-C9B4-6DE9-86E2DFFBAC47}"/>
            </a:ext>
          </a:extLst>
        </xdr:cNvPr>
        <xdr:cNvSpPr>
          <a:spLocks noChangeShapeType="1"/>
        </xdr:cNvSpPr>
      </xdr:nvSpPr>
      <xdr:spPr bwMode="auto">
        <a:xfrm>
          <a:off x="2355850" y="6000750"/>
          <a:ext cx="2336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02k01\&#20849;&#29992;&#65300;\NFBSysSaveFile\20080225143648\2006_2_&#24180;&#22577;_&#29305;&#27530;&#12486;&#12473;&#12488;&#27861;&#20154;&#20225;&#26989;&#32113;&#35336;_&#24180;&#27425;&#21029;&#38598;&#35239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次別集覧１（期末）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FFC2-6981-4174-AC46-135B2B793D63}">
  <sheetPr codeName="Sheet6">
    <tabColor rgb="FFFFC000"/>
  </sheetPr>
  <dimension ref="A1:L46"/>
  <sheetViews>
    <sheetView tabSelected="1"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1" t="s">
        <v>4</v>
      </c>
    </row>
    <row r="2" spans="1:11" ht="19">
      <c r="D2" s="1" t="s">
        <v>5</v>
      </c>
    </row>
    <row r="3" spans="1:11" ht="19">
      <c r="D3" s="1"/>
    </row>
    <row r="4" spans="1:11" ht="11.5" thickBot="1">
      <c r="K4" s="3" t="s">
        <v>3</v>
      </c>
    </row>
    <row r="5" spans="1:11" ht="12" customHeight="1" thickBot="1">
      <c r="A5" s="236" t="s">
        <v>6</v>
      </c>
      <c r="B5" s="240">
        <v>2014</v>
      </c>
      <c r="C5" s="180"/>
      <c r="D5" s="238">
        <v>2015</v>
      </c>
      <c r="E5" s="180"/>
      <c r="F5" s="238">
        <v>2016</v>
      </c>
      <c r="G5" s="180"/>
      <c r="H5" s="238">
        <v>2017</v>
      </c>
      <c r="I5" s="180"/>
      <c r="J5" s="238">
        <v>2018</v>
      </c>
      <c r="K5" s="180"/>
    </row>
    <row r="6" spans="1:11" ht="25" customHeight="1" thickBot="1">
      <c r="A6" s="237"/>
      <c r="B6" s="241"/>
      <c r="C6" s="4" t="s">
        <v>7</v>
      </c>
      <c r="D6" s="239"/>
      <c r="E6" s="4" t="s">
        <v>7</v>
      </c>
      <c r="F6" s="239"/>
      <c r="G6" s="4" t="s">
        <v>7</v>
      </c>
      <c r="H6" s="241"/>
      <c r="I6" s="4" t="s">
        <v>7</v>
      </c>
      <c r="J6" s="241"/>
      <c r="K6" s="4" t="s">
        <v>7</v>
      </c>
    </row>
    <row r="7" spans="1:11" ht="18" customHeight="1">
      <c r="A7" s="5" t="s">
        <v>8</v>
      </c>
      <c r="B7" s="6">
        <v>14478425.02</v>
      </c>
      <c r="C7" s="7">
        <v>2.7452830000000001</v>
      </c>
      <c r="D7" s="6">
        <v>14315341.43</v>
      </c>
      <c r="E7" s="7">
        <v>-1.12639</v>
      </c>
      <c r="F7" s="6">
        <v>14557563.01</v>
      </c>
      <c r="G7" s="7">
        <v>1.692042</v>
      </c>
      <c r="H7" s="6">
        <v>15441428.08</v>
      </c>
      <c r="I7" s="7">
        <v>6.0715180000000002</v>
      </c>
      <c r="J7" s="6">
        <v>15352114.24</v>
      </c>
      <c r="K7" s="7">
        <v>-0.57840400000000003</v>
      </c>
    </row>
    <row r="8" spans="1:11" ht="18" customHeight="1">
      <c r="A8" s="8" t="s">
        <v>9</v>
      </c>
      <c r="B8" s="6">
        <v>4050824.26</v>
      </c>
      <c r="C8" s="7">
        <v>2.7719529999999999</v>
      </c>
      <c r="D8" s="6">
        <v>3978421.27</v>
      </c>
      <c r="E8" s="7">
        <v>-1.787364</v>
      </c>
      <c r="F8" s="6">
        <v>3955614.44</v>
      </c>
      <c r="G8" s="7">
        <v>-0.57326299999999997</v>
      </c>
      <c r="H8" s="6">
        <v>4062597.88</v>
      </c>
      <c r="I8" s="7">
        <v>2.7045970000000001</v>
      </c>
      <c r="J8" s="6">
        <v>4142697.75</v>
      </c>
      <c r="K8" s="7">
        <v>1.9716419999999999</v>
      </c>
    </row>
    <row r="9" spans="1:11" ht="18" customHeight="1">
      <c r="A9" s="8" t="s">
        <v>10</v>
      </c>
      <c r="B9" s="6">
        <v>440612.65</v>
      </c>
      <c r="C9" s="7">
        <v>3.1100479999999999</v>
      </c>
      <c r="D9" s="6">
        <v>448238.51</v>
      </c>
      <c r="E9" s="7">
        <v>1.7307399999999999</v>
      </c>
      <c r="F9" s="6">
        <v>452845.44</v>
      </c>
      <c r="G9" s="7">
        <v>1.0277849999999999</v>
      </c>
      <c r="H9" s="6">
        <v>448843.61</v>
      </c>
      <c r="I9" s="7">
        <v>-0.88370800000000005</v>
      </c>
      <c r="J9" s="6">
        <v>458416.1</v>
      </c>
      <c r="K9" s="7">
        <v>2.132701</v>
      </c>
    </row>
    <row r="10" spans="1:11" ht="18" customHeight="1">
      <c r="A10" s="8" t="s">
        <v>11</v>
      </c>
      <c r="B10" s="6">
        <v>415201.43</v>
      </c>
      <c r="C10" s="7">
        <v>1.6673389999999999</v>
      </c>
      <c r="D10" s="6">
        <v>424499.62</v>
      </c>
      <c r="E10" s="7">
        <v>2.2394409999999998</v>
      </c>
      <c r="F10" s="6">
        <v>402133.37</v>
      </c>
      <c r="G10" s="7">
        <v>-5.2688499999999996</v>
      </c>
      <c r="H10" s="6">
        <v>407851.1</v>
      </c>
      <c r="I10" s="7">
        <v>1.4218489999999999</v>
      </c>
      <c r="J10" s="6">
        <v>428058.62</v>
      </c>
      <c r="K10" s="7">
        <v>4.9546320000000001</v>
      </c>
    </row>
    <row r="11" spans="1:11" s="10" customFormat="1" ht="18" customHeight="1">
      <c r="A11" s="9" t="s">
        <v>12</v>
      </c>
      <c r="B11" s="6">
        <v>190725.89</v>
      </c>
      <c r="C11" s="7">
        <v>0.40787899999999999</v>
      </c>
      <c r="D11" s="6">
        <v>137329.4</v>
      </c>
      <c r="E11" s="7">
        <v>-27.996455999999998</v>
      </c>
      <c r="F11" s="6">
        <v>110413.88</v>
      </c>
      <c r="G11" s="7">
        <v>-19.599240999999999</v>
      </c>
      <c r="H11" s="6">
        <v>104957.12</v>
      </c>
      <c r="I11" s="7">
        <v>-4.9420960000000003</v>
      </c>
      <c r="J11" s="6">
        <v>113149.93</v>
      </c>
      <c r="K11" s="7">
        <v>7.8058639999999997</v>
      </c>
    </row>
    <row r="12" spans="1:11" s="10" customFormat="1" ht="18" customHeight="1">
      <c r="A12" s="9" t="s">
        <v>13</v>
      </c>
      <c r="B12" s="6">
        <v>177288.58</v>
      </c>
      <c r="C12" s="7">
        <v>3.966901</v>
      </c>
      <c r="D12" s="6">
        <v>165186.5</v>
      </c>
      <c r="E12" s="7">
        <v>-6.8262039999999997</v>
      </c>
      <c r="F12" s="6">
        <v>150728.92000000001</v>
      </c>
      <c r="G12" s="7">
        <v>-8.7522769999999994</v>
      </c>
      <c r="H12" s="6">
        <v>166754.10999999999</v>
      </c>
      <c r="I12" s="7">
        <v>10.631795</v>
      </c>
      <c r="J12" s="6">
        <v>172001.35</v>
      </c>
      <c r="K12" s="7">
        <v>3.146693</v>
      </c>
    </row>
    <row r="13" spans="1:11" ht="18" customHeight="1">
      <c r="A13" s="8" t="s">
        <v>14</v>
      </c>
      <c r="B13" s="6">
        <v>181003.03</v>
      </c>
      <c r="C13" s="7">
        <v>-2.1916120000000001</v>
      </c>
      <c r="D13" s="6">
        <v>190756.08</v>
      </c>
      <c r="E13" s="7">
        <v>5.3883349999999997</v>
      </c>
      <c r="F13" s="6">
        <v>188552.68</v>
      </c>
      <c r="G13" s="7">
        <v>-1.1550879999999999</v>
      </c>
      <c r="H13" s="6">
        <v>197417.09</v>
      </c>
      <c r="I13" s="7">
        <v>4.7012910000000003</v>
      </c>
      <c r="J13" s="6">
        <v>208771.49</v>
      </c>
      <c r="K13" s="7">
        <v>5.7514779999999996</v>
      </c>
    </row>
    <row r="14" spans="1:11" ht="18" customHeight="1">
      <c r="A14" s="8" t="s">
        <v>218</v>
      </c>
      <c r="B14" s="6">
        <v>60885.36</v>
      </c>
      <c r="C14" s="7">
        <v>5.3043069999999997</v>
      </c>
      <c r="D14" s="6">
        <v>67130.289999999994</v>
      </c>
      <c r="E14" s="7">
        <v>10.256866</v>
      </c>
      <c r="F14" s="6">
        <v>66638.3</v>
      </c>
      <c r="G14" s="7">
        <v>-0.73288799999999998</v>
      </c>
      <c r="H14" s="6">
        <v>73427.27</v>
      </c>
      <c r="I14" s="7">
        <v>10.18779</v>
      </c>
      <c r="J14" s="6">
        <v>74636.47</v>
      </c>
      <c r="K14" s="7">
        <v>1.6468</v>
      </c>
    </row>
    <row r="15" spans="1:11" ht="18" customHeight="1">
      <c r="A15" s="8" t="s">
        <v>219</v>
      </c>
      <c r="B15" s="6">
        <v>232980.47</v>
      </c>
      <c r="C15" s="7">
        <v>5.0454730000000003</v>
      </c>
      <c r="D15" s="6">
        <v>225756.52</v>
      </c>
      <c r="E15" s="7">
        <v>-3.1006680000000002</v>
      </c>
      <c r="F15" s="6">
        <v>224329.60000000001</v>
      </c>
      <c r="G15" s="7">
        <v>-0.63206099999999998</v>
      </c>
      <c r="H15" s="6">
        <v>242509.84</v>
      </c>
      <c r="I15" s="7">
        <v>8.1042539999999992</v>
      </c>
      <c r="J15" s="6">
        <v>268834.81</v>
      </c>
      <c r="K15" s="7">
        <v>10.855217</v>
      </c>
    </row>
    <row r="16" spans="1:11" ht="18" customHeight="1">
      <c r="A16" s="8" t="s">
        <v>220</v>
      </c>
      <c r="B16" s="6">
        <v>143078.79999999999</v>
      </c>
      <c r="C16" s="7">
        <v>1.204426</v>
      </c>
      <c r="D16" s="6">
        <v>155409.43</v>
      </c>
      <c r="E16" s="7">
        <v>8.6180690000000002</v>
      </c>
      <c r="F16" s="6">
        <v>143714.35</v>
      </c>
      <c r="G16" s="7">
        <v>-7.5253350000000001</v>
      </c>
      <c r="H16" s="6">
        <v>135496.28</v>
      </c>
      <c r="I16" s="7">
        <v>-5.7183359999999999</v>
      </c>
      <c r="J16" s="6">
        <v>134255.72</v>
      </c>
      <c r="K16" s="7">
        <v>-0.91556800000000005</v>
      </c>
    </row>
    <row r="17" spans="1:11" ht="18" customHeight="1">
      <c r="A17" s="8" t="s">
        <v>227</v>
      </c>
      <c r="B17" s="6">
        <v>292340.07</v>
      </c>
      <c r="C17" s="7">
        <v>9.0146850000000001</v>
      </c>
      <c r="D17" s="6">
        <v>286077.53999999998</v>
      </c>
      <c r="E17" s="7">
        <v>-2.142207</v>
      </c>
      <c r="F17" s="6">
        <v>312803.06</v>
      </c>
      <c r="G17" s="7">
        <v>9.3420550000000002</v>
      </c>
      <c r="H17" s="6">
        <v>315397.51</v>
      </c>
      <c r="I17" s="7">
        <v>0.82942000000000005</v>
      </c>
      <c r="J17" s="6">
        <v>317952.5</v>
      </c>
      <c r="K17" s="7">
        <v>0.81008599999999997</v>
      </c>
    </row>
    <row r="18" spans="1:11" ht="18" customHeight="1">
      <c r="A18" s="8" t="s">
        <v>228</v>
      </c>
      <c r="B18" s="6">
        <v>334536.63</v>
      </c>
      <c r="C18" s="7">
        <v>2.46814</v>
      </c>
      <c r="D18" s="6">
        <v>344873.54</v>
      </c>
      <c r="E18" s="7">
        <v>3.0899190000000001</v>
      </c>
      <c r="F18" s="6">
        <v>341658.41</v>
      </c>
      <c r="G18" s="7">
        <v>-0.93226299999999995</v>
      </c>
      <c r="H18" s="6">
        <v>323339.37</v>
      </c>
      <c r="I18" s="7">
        <v>-5.3617999999999997</v>
      </c>
      <c r="J18" s="6">
        <v>332732.71999999997</v>
      </c>
      <c r="K18" s="7">
        <v>2.905106</v>
      </c>
    </row>
    <row r="19" spans="1:11" ht="18" customHeight="1">
      <c r="A19" s="11" t="s">
        <v>229</v>
      </c>
      <c r="B19" s="6">
        <v>688735.9</v>
      </c>
      <c r="C19" s="7">
        <v>0.24952299999999999</v>
      </c>
      <c r="D19" s="6">
        <v>709125.42</v>
      </c>
      <c r="E19" s="7">
        <v>2.960426</v>
      </c>
      <c r="F19" s="6">
        <v>750267.2</v>
      </c>
      <c r="G19" s="7">
        <v>5.8017640000000004</v>
      </c>
      <c r="H19" s="6">
        <v>781453.26</v>
      </c>
      <c r="I19" s="7">
        <v>4.1566599999999996</v>
      </c>
      <c r="J19" s="6">
        <v>795140.05</v>
      </c>
      <c r="K19" s="7">
        <v>1.7514529999999999</v>
      </c>
    </row>
    <row r="20" spans="1:11" ht="18" customHeight="1">
      <c r="A20" s="8" t="s">
        <v>15</v>
      </c>
      <c r="B20" s="6">
        <v>10427600.76</v>
      </c>
      <c r="C20" s="7">
        <v>2.7349260000000002</v>
      </c>
      <c r="D20" s="6">
        <v>10336920.16</v>
      </c>
      <c r="E20" s="7">
        <v>-0.86962099999999998</v>
      </c>
      <c r="F20" s="6">
        <v>10601948.57</v>
      </c>
      <c r="G20" s="7">
        <v>2.563901</v>
      </c>
      <c r="H20" s="6">
        <v>11378830.199999999</v>
      </c>
      <c r="I20" s="7">
        <v>7.327725</v>
      </c>
      <c r="J20" s="6">
        <v>11209416.49</v>
      </c>
      <c r="K20" s="7">
        <v>-1.48885</v>
      </c>
    </row>
    <row r="21" spans="1:11" ht="18" customHeight="1">
      <c r="A21" s="8" t="s">
        <v>16</v>
      </c>
      <c r="B21" s="6">
        <v>1285148.26</v>
      </c>
      <c r="C21" s="7">
        <v>4.9097039999999996</v>
      </c>
      <c r="D21" s="6">
        <v>1227134.68</v>
      </c>
      <c r="E21" s="7">
        <v>-4.5141549999999997</v>
      </c>
      <c r="F21" s="6">
        <v>1289661.54</v>
      </c>
      <c r="G21" s="7">
        <v>5.0953540000000004</v>
      </c>
      <c r="H21" s="6">
        <v>1411152.73</v>
      </c>
      <c r="I21" s="7">
        <v>9.4203930000000007</v>
      </c>
      <c r="J21" s="6">
        <v>1449598.86</v>
      </c>
      <c r="K21" s="7">
        <v>2.7244489999999999</v>
      </c>
    </row>
    <row r="22" spans="1:11" ht="18" customHeight="1">
      <c r="A22" s="8" t="s">
        <v>17</v>
      </c>
      <c r="B22" s="6">
        <v>5346908.0599999996</v>
      </c>
      <c r="C22" s="7">
        <v>2.848535</v>
      </c>
      <c r="D22" s="6">
        <v>5263809.43</v>
      </c>
      <c r="E22" s="7">
        <v>-1.554144</v>
      </c>
      <c r="F22" s="6">
        <v>5315863.7699999996</v>
      </c>
      <c r="G22" s="7">
        <v>0.98890999999999996</v>
      </c>
      <c r="H22" s="6">
        <v>5822638.25</v>
      </c>
      <c r="I22" s="7">
        <v>9.5332480000000004</v>
      </c>
      <c r="J22" s="6">
        <v>5475705.2000000002</v>
      </c>
      <c r="K22" s="7">
        <v>-5.958348</v>
      </c>
    </row>
    <row r="23" spans="1:11" ht="18" customHeight="1">
      <c r="A23" s="8" t="s">
        <v>18</v>
      </c>
      <c r="B23" s="6">
        <v>369811.91</v>
      </c>
      <c r="C23" s="7">
        <v>-1.919268</v>
      </c>
      <c r="D23" s="6">
        <v>393835.23</v>
      </c>
      <c r="E23" s="7">
        <v>6.4960909999999998</v>
      </c>
      <c r="F23" s="6">
        <v>429824.1</v>
      </c>
      <c r="G23" s="7">
        <v>9.1380520000000001</v>
      </c>
      <c r="H23" s="6">
        <v>434335.43</v>
      </c>
      <c r="I23" s="7">
        <v>1.0495760000000001</v>
      </c>
      <c r="J23" s="6">
        <v>465363.49</v>
      </c>
      <c r="K23" s="7">
        <v>7.1438009999999998</v>
      </c>
    </row>
    <row r="24" spans="1:11" ht="18" customHeight="1">
      <c r="A24" s="8" t="s">
        <v>19</v>
      </c>
      <c r="B24" s="6">
        <v>160866.28</v>
      </c>
      <c r="C24" s="7">
        <v>14.063407</v>
      </c>
      <c r="D24" s="6">
        <v>157018.57999999999</v>
      </c>
      <c r="E24" s="7">
        <v>-2.3918620000000002</v>
      </c>
      <c r="F24" s="6">
        <v>157615.25</v>
      </c>
      <c r="G24" s="7">
        <v>0.38</v>
      </c>
      <c r="H24" s="6">
        <v>152862.82999999999</v>
      </c>
      <c r="I24" s="7">
        <v>-3.0152030000000001</v>
      </c>
      <c r="J24" s="6">
        <v>161287.81</v>
      </c>
      <c r="K24" s="7">
        <v>5.5114640000000001</v>
      </c>
    </row>
    <row r="25" spans="1:11" ht="18" customHeight="1">
      <c r="A25" s="8" t="s">
        <v>20</v>
      </c>
      <c r="B25" s="6">
        <v>595755.72</v>
      </c>
      <c r="C25" s="7">
        <v>-0.39836100000000002</v>
      </c>
      <c r="D25" s="6">
        <v>664510.13</v>
      </c>
      <c r="E25" s="7">
        <v>11.540705000000001</v>
      </c>
      <c r="F25" s="6">
        <v>688195.39</v>
      </c>
      <c r="G25" s="7">
        <v>3.5643189999999998</v>
      </c>
      <c r="H25" s="6">
        <v>729035.42</v>
      </c>
      <c r="I25" s="7">
        <v>5.9343659999999998</v>
      </c>
      <c r="J25" s="6">
        <v>761794.43</v>
      </c>
      <c r="K25" s="7">
        <v>4.4934729999999998</v>
      </c>
    </row>
    <row r="26" spans="1:11" ht="18" customHeight="1">
      <c r="A26" s="8" t="s">
        <v>21</v>
      </c>
      <c r="B26" s="6">
        <v>694067.13</v>
      </c>
      <c r="C26" s="7">
        <v>6.136533</v>
      </c>
      <c r="D26" s="6">
        <v>697736.16</v>
      </c>
      <c r="E26" s="7">
        <v>0.52862799999999999</v>
      </c>
      <c r="F26" s="6">
        <v>652981.68000000005</v>
      </c>
      <c r="G26" s="7">
        <v>-6.4142409999999996</v>
      </c>
      <c r="H26" s="6">
        <v>660415.4</v>
      </c>
      <c r="I26" s="7">
        <v>1.1384270000000001</v>
      </c>
      <c r="J26" s="6">
        <v>718624.99</v>
      </c>
      <c r="K26" s="7">
        <v>8.8140870000000007</v>
      </c>
    </row>
    <row r="27" spans="1:11" ht="18" customHeight="1">
      <c r="A27" s="8" t="s">
        <v>22</v>
      </c>
      <c r="B27" s="6">
        <v>221623.28</v>
      </c>
      <c r="C27" s="7">
        <v>3.8361209999999999</v>
      </c>
      <c r="D27" s="6">
        <v>205179.69</v>
      </c>
      <c r="E27" s="7">
        <v>-7.419613</v>
      </c>
      <c r="F27" s="6">
        <v>235354.19</v>
      </c>
      <c r="G27" s="7">
        <v>14.706378000000001</v>
      </c>
      <c r="H27" s="6">
        <v>258940.07</v>
      </c>
      <c r="I27" s="7">
        <v>10.02144</v>
      </c>
      <c r="J27" s="6">
        <v>275853.19</v>
      </c>
      <c r="K27" s="7">
        <v>6.5316739999999998</v>
      </c>
    </row>
    <row r="28" spans="1:11" ht="18" customHeight="1">
      <c r="A28" s="8" t="s">
        <v>23</v>
      </c>
      <c r="B28" s="6">
        <v>1618213.99</v>
      </c>
      <c r="C28" s="7">
        <v>0.39724799999999999</v>
      </c>
      <c r="D28" s="6">
        <v>1606739.48</v>
      </c>
      <c r="E28" s="7">
        <v>-0.70908499999999997</v>
      </c>
      <c r="F28" s="6">
        <v>1724962.17</v>
      </c>
      <c r="G28" s="7">
        <v>7.3579249999999998</v>
      </c>
      <c r="H28" s="6">
        <v>1777279.68</v>
      </c>
      <c r="I28" s="7">
        <v>3.0329660000000001</v>
      </c>
      <c r="J28" s="6">
        <v>1759901.5</v>
      </c>
      <c r="K28" s="7">
        <v>-0.97779700000000003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24</v>
      </c>
      <c r="B30" s="174"/>
      <c r="C30" s="174"/>
      <c r="D30" s="174"/>
      <c r="E30" s="174"/>
      <c r="F30" s="174"/>
      <c r="G30" s="174"/>
      <c r="H30" s="174"/>
      <c r="I30" s="174"/>
      <c r="J30" s="174"/>
      <c r="K30" s="174"/>
    </row>
    <row r="31" spans="1:11" ht="18" customHeight="1">
      <c r="A31" s="8" t="s">
        <v>25</v>
      </c>
      <c r="B31" s="6">
        <v>5651905.4500000002</v>
      </c>
      <c r="C31" s="7">
        <v>0.98615900000000001</v>
      </c>
      <c r="D31" s="6">
        <v>5471783.6299999999</v>
      </c>
      <c r="E31" s="7">
        <v>-3.186922</v>
      </c>
      <c r="F31" s="6">
        <v>5372030.21</v>
      </c>
      <c r="G31" s="7">
        <v>-1.823051</v>
      </c>
      <c r="H31" s="6">
        <v>5686673.1500000004</v>
      </c>
      <c r="I31" s="7">
        <v>5.8570580000000003</v>
      </c>
      <c r="J31" s="6">
        <v>5898233.5599999996</v>
      </c>
      <c r="K31" s="7">
        <v>3.7202839999999999</v>
      </c>
    </row>
    <row r="32" spans="1:11" ht="18" customHeight="1">
      <c r="A32" s="8" t="s">
        <v>26</v>
      </c>
      <c r="B32" s="6">
        <v>2517656.84</v>
      </c>
      <c r="C32" s="7">
        <v>9.7825849999999992</v>
      </c>
      <c r="D32" s="6">
        <v>2550165.5099999998</v>
      </c>
      <c r="E32" s="7">
        <v>1.2912269999999999</v>
      </c>
      <c r="F32" s="6">
        <v>2689625.89</v>
      </c>
      <c r="G32" s="7">
        <v>5.46868</v>
      </c>
      <c r="H32" s="6">
        <v>2870924.24</v>
      </c>
      <c r="I32" s="7">
        <v>6.740653</v>
      </c>
      <c r="J32" s="6">
        <v>2980151.27</v>
      </c>
      <c r="K32" s="7">
        <v>3.8045949999999999</v>
      </c>
    </row>
    <row r="33" spans="1:12" ht="18" customHeight="1">
      <c r="A33" s="8" t="s">
        <v>27</v>
      </c>
      <c r="B33" s="6">
        <v>5080963.57</v>
      </c>
      <c r="C33" s="7">
        <v>1.4099919999999999</v>
      </c>
      <c r="D33" s="6">
        <v>5090650.1100000003</v>
      </c>
      <c r="E33" s="7">
        <v>0.19064400000000001</v>
      </c>
      <c r="F33" s="6">
        <v>5280375.07</v>
      </c>
      <c r="G33" s="7">
        <v>3.7269299999999999</v>
      </c>
      <c r="H33" s="6">
        <v>5492908.7300000004</v>
      </c>
      <c r="I33" s="7">
        <v>4.0249730000000001</v>
      </c>
      <c r="J33" s="6">
        <v>5136878.92</v>
      </c>
      <c r="K33" s="7">
        <v>-6.4816260000000003</v>
      </c>
    </row>
    <row r="34" spans="1:12" ht="18" customHeight="1" thickBot="1">
      <c r="A34" s="14" t="s">
        <v>28</v>
      </c>
      <c r="B34" s="15">
        <v>1227899.1599999999</v>
      </c>
      <c r="C34" s="16">
        <v>3.0783939999999999</v>
      </c>
      <c r="D34" s="15">
        <v>1202742.18</v>
      </c>
      <c r="E34" s="16">
        <v>-2.0487820000000001</v>
      </c>
      <c r="F34" s="15">
        <v>1215531.8400000001</v>
      </c>
      <c r="G34" s="16">
        <v>1.063375</v>
      </c>
      <c r="H34" s="15">
        <v>1390921.96</v>
      </c>
      <c r="I34" s="16">
        <v>14.429085000000001</v>
      </c>
      <c r="J34" s="15">
        <v>1336850.49</v>
      </c>
      <c r="K34" s="16">
        <v>-3.8874550000000001</v>
      </c>
    </row>
    <row r="36" spans="1:12" ht="11.9" customHeight="1">
      <c r="A36" s="17" t="s">
        <v>299</v>
      </c>
      <c r="C36" s="18"/>
      <c r="D36" s="19"/>
      <c r="E36" s="18"/>
      <c r="F36" s="19"/>
      <c r="G36" s="18"/>
      <c r="H36" s="19"/>
      <c r="I36" s="18"/>
      <c r="J36" s="19"/>
      <c r="K36" s="18"/>
    </row>
    <row r="37" spans="1:12" ht="11.9" customHeight="1">
      <c r="A37" s="20"/>
      <c r="B37" s="19"/>
      <c r="C37" s="18"/>
      <c r="D37" s="19"/>
      <c r="E37" s="18"/>
      <c r="F37" s="19"/>
      <c r="G37" s="18"/>
      <c r="H37" s="19"/>
      <c r="I37" s="18"/>
      <c r="J37" s="19"/>
      <c r="K37" s="18"/>
    </row>
    <row r="38" spans="1:12" ht="11.9" customHeight="1">
      <c r="A38" s="32"/>
      <c r="B38" s="19"/>
      <c r="C38" s="18"/>
      <c r="D38" s="19"/>
      <c r="E38" s="18"/>
      <c r="F38" s="19"/>
      <c r="G38" s="18"/>
      <c r="H38" s="19"/>
      <c r="I38" s="18"/>
      <c r="J38" s="19"/>
      <c r="K38" s="18"/>
    </row>
    <row r="39" spans="1:12" ht="11.9" customHeight="1">
      <c r="A39" s="20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2" ht="11.9" customHeight="1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</row>
    <row r="41" spans="1:12" ht="11.9" customHeight="1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</row>
    <row r="42" spans="1:12" ht="11.9" customHeight="1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</row>
    <row r="43" spans="1:12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</row>
    <row r="44" spans="1:12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</row>
    <row r="45" spans="1:12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</row>
    <row r="46" spans="1:12">
      <c r="A46" s="235"/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</sheetData>
  <mergeCells count="7">
    <mergeCell ref="A40:L46"/>
    <mergeCell ref="A5:A6"/>
    <mergeCell ref="F5:F6"/>
    <mergeCell ref="D5:D6"/>
    <mergeCell ref="B5:B6"/>
    <mergeCell ref="H5:H6"/>
    <mergeCell ref="J5:J6"/>
  </mergeCells>
  <phoneticPr fontId="2"/>
  <printOptions horizontalCentered="1"/>
  <pageMargins left="0.78740157480314965" right="0.19685039370078741" top="0.98425196850393704" bottom="0.47244094488188981" header="0.51181102362204722" footer="0.19685039370078741"/>
  <pageSetup paperSize="9"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C54C-5802-45D0-8314-E4F3E1184AA3}">
  <sheetPr>
    <tabColor rgb="FFFFC000"/>
  </sheetPr>
  <dimension ref="A2:K44"/>
  <sheetViews>
    <sheetView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2" spans="1:11" ht="19">
      <c r="D2" s="1" t="s">
        <v>29</v>
      </c>
    </row>
    <row r="3" spans="1:11" ht="11.5" thickBot="1">
      <c r="K3" s="3" t="s">
        <v>3</v>
      </c>
    </row>
    <row r="4" spans="1:11" ht="12" customHeight="1" thickBot="1">
      <c r="A4" s="236" t="s">
        <v>30</v>
      </c>
      <c r="B4" s="240" t="s">
        <v>254</v>
      </c>
      <c r="C4" s="180"/>
      <c r="D4" s="238">
        <v>2015</v>
      </c>
      <c r="E4" s="180"/>
      <c r="F4" s="238">
        <v>2016</v>
      </c>
      <c r="G4" s="180"/>
      <c r="H4" s="238">
        <v>2017</v>
      </c>
      <c r="I4" s="180"/>
      <c r="J4" s="238">
        <v>2018</v>
      </c>
      <c r="K4" s="180"/>
    </row>
    <row r="5" spans="1:11" ht="25" customHeight="1" thickBot="1">
      <c r="A5" s="237"/>
      <c r="B5" s="241"/>
      <c r="C5" s="4" t="s">
        <v>7</v>
      </c>
      <c r="D5" s="239"/>
      <c r="E5" s="4" t="s">
        <v>7</v>
      </c>
      <c r="F5" s="239"/>
      <c r="G5" s="4" t="s">
        <v>7</v>
      </c>
      <c r="H5" s="241"/>
      <c r="I5" s="4" t="s">
        <v>7</v>
      </c>
      <c r="J5" s="241"/>
      <c r="K5" s="4" t="s">
        <v>7</v>
      </c>
    </row>
    <row r="6" spans="1:11" ht="24" customHeight="1">
      <c r="A6" s="5" t="s">
        <v>261</v>
      </c>
      <c r="B6" s="6">
        <v>645860.91</v>
      </c>
      <c r="C6" s="7">
        <v>8.2966850000000001</v>
      </c>
      <c r="D6" s="6">
        <v>682200.84</v>
      </c>
      <c r="E6" s="7">
        <v>5.6265879999999999</v>
      </c>
      <c r="F6" s="6">
        <v>749872.18</v>
      </c>
      <c r="G6" s="7">
        <v>9.9195630000000001</v>
      </c>
      <c r="H6" s="6">
        <v>835542.95</v>
      </c>
      <c r="I6" s="7">
        <v>11.424716</v>
      </c>
      <c r="J6" s="6">
        <v>839176.65</v>
      </c>
      <c r="K6" s="7">
        <v>0.43489100000000003</v>
      </c>
    </row>
    <row r="7" spans="1:11" ht="24" customHeight="1">
      <c r="A7" s="8" t="s">
        <v>262</v>
      </c>
      <c r="B7" s="6">
        <v>236986.98</v>
      </c>
      <c r="C7" s="7">
        <v>9.3478949999999994</v>
      </c>
      <c r="D7" s="6">
        <v>233370.14</v>
      </c>
      <c r="E7" s="7">
        <v>-1.5261769999999999</v>
      </c>
      <c r="F7" s="6">
        <v>240537.38</v>
      </c>
      <c r="G7" s="7">
        <v>3.0711900000000001</v>
      </c>
      <c r="H7" s="6">
        <v>283175.73</v>
      </c>
      <c r="I7" s="7">
        <v>17.726289000000001</v>
      </c>
      <c r="J7" s="6">
        <v>273467.8</v>
      </c>
      <c r="K7" s="7">
        <v>-3.4282349999999999</v>
      </c>
    </row>
    <row r="8" spans="1:11" ht="24" customHeight="1">
      <c r="A8" s="8" t="s">
        <v>33</v>
      </c>
      <c r="B8" s="6">
        <v>14452.12</v>
      </c>
      <c r="C8" s="7">
        <v>-5.6173900000000003</v>
      </c>
      <c r="D8" s="6">
        <v>18312.47</v>
      </c>
      <c r="E8" s="7">
        <v>26.711306</v>
      </c>
      <c r="F8" s="6">
        <v>20218.060000000001</v>
      </c>
      <c r="G8" s="7">
        <v>10.405969000000001</v>
      </c>
      <c r="H8" s="6">
        <v>19668.43</v>
      </c>
      <c r="I8" s="7">
        <v>-2.7185100000000002</v>
      </c>
      <c r="J8" s="6">
        <v>19673.89</v>
      </c>
      <c r="K8" s="7">
        <v>2.776E-2</v>
      </c>
    </row>
    <row r="9" spans="1:11" ht="24" customHeight="1">
      <c r="A9" s="8" t="s">
        <v>34</v>
      </c>
      <c r="B9" s="6">
        <v>34557.449999999997</v>
      </c>
      <c r="C9" s="7">
        <v>-4.5376159999999999</v>
      </c>
      <c r="D9" s="6">
        <v>39519.71</v>
      </c>
      <c r="E9" s="7">
        <v>14.359451</v>
      </c>
      <c r="F9" s="6">
        <v>40526.03</v>
      </c>
      <c r="G9" s="7">
        <v>2.5463749999999998</v>
      </c>
      <c r="H9" s="6">
        <v>47227.32</v>
      </c>
      <c r="I9" s="7">
        <v>16.535767</v>
      </c>
      <c r="J9" s="6">
        <v>45373.02</v>
      </c>
      <c r="K9" s="7">
        <v>-3.926329</v>
      </c>
    </row>
    <row r="10" spans="1:11" s="10" customFormat="1" ht="24" customHeight="1">
      <c r="A10" s="9" t="s">
        <v>35</v>
      </c>
      <c r="B10" s="6">
        <v>-1298.26</v>
      </c>
      <c r="C10" s="7">
        <v>-159.18075200000001</v>
      </c>
      <c r="D10" s="6">
        <v>-327.9</v>
      </c>
      <c r="E10" s="7" t="s">
        <v>36</v>
      </c>
      <c r="F10" s="6">
        <v>3778.53</v>
      </c>
      <c r="G10" s="7" t="s">
        <v>36</v>
      </c>
      <c r="H10" s="6">
        <v>3793.14</v>
      </c>
      <c r="I10" s="7">
        <v>0.386658</v>
      </c>
      <c r="J10" s="6">
        <v>2315.06</v>
      </c>
      <c r="K10" s="7">
        <v>-38.967188</v>
      </c>
    </row>
    <row r="11" spans="1:11" s="10" customFormat="1" ht="24" customHeight="1">
      <c r="A11" s="9" t="s">
        <v>37</v>
      </c>
      <c r="B11" s="6">
        <v>9071.56</v>
      </c>
      <c r="C11" s="7">
        <v>29.242360000000001</v>
      </c>
      <c r="D11" s="6">
        <v>5332.71</v>
      </c>
      <c r="E11" s="7">
        <v>-41.215071999999999</v>
      </c>
      <c r="F11" s="6">
        <v>4020.2</v>
      </c>
      <c r="G11" s="7">
        <v>-24.612438999999998</v>
      </c>
      <c r="H11" s="6">
        <v>7416.79</v>
      </c>
      <c r="I11" s="7">
        <v>84.488084999999998</v>
      </c>
      <c r="J11" s="6">
        <v>6617.51</v>
      </c>
      <c r="K11" s="7">
        <v>-10.776630000000001</v>
      </c>
    </row>
    <row r="12" spans="1:11" ht="24" customHeight="1">
      <c r="A12" s="8" t="s">
        <v>38</v>
      </c>
      <c r="B12" s="6">
        <v>9108.6299999999992</v>
      </c>
      <c r="C12" s="7">
        <v>18.338619000000001</v>
      </c>
      <c r="D12" s="6">
        <v>9120</v>
      </c>
      <c r="E12" s="7">
        <v>0.12482699999999999</v>
      </c>
      <c r="F12" s="6">
        <v>8937.89</v>
      </c>
      <c r="G12" s="7">
        <v>-1.99682</v>
      </c>
      <c r="H12" s="6">
        <v>10599.24</v>
      </c>
      <c r="I12" s="7">
        <v>18.587720000000001</v>
      </c>
      <c r="J12" s="6">
        <v>10397.06</v>
      </c>
      <c r="K12" s="7">
        <v>-1.9074949999999999</v>
      </c>
    </row>
    <row r="13" spans="1:11" ht="24" customHeight="1">
      <c r="A13" s="8" t="s">
        <v>221</v>
      </c>
      <c r="B13" s="6">
        <v>4021.51</v>
      </c>
      <c r="C13" s="7">
        <v>6.873761</v>
      </c>
      <c r="D13" s="6">
        <v>4882.2700000000004</v>
      </c>
      <c r="E13" s="7">
        <v>21.403901000000001</v>
      </c>
      <c r="F13" s="6">
        <v>5118.3599999999997</v>
      </c>
      <c r="G13" s="7">
        <v>4.8356599999999998</v>
      </c>
      <c r="H13" s="6">
        <v>6085.4</v>
      </c>
      <c r="I13" s="7">
        <v>18.893552</v>
      </c>
      <c r="J13" s="6">
        <v>5971.16</v>
      </c>
      <c r="K13" s="7">
        <v>-1.8772800000000001</v>
      </c>
    </row>
    <row r="14" spans="1:11" ht="24" customHeight="1">
      <c r="A14" s="8" t="s">
        <v>222</v>
      </c>
      <c r="B14" s="6">
        <v>16554.169999999998</v>
      </c>
      <c r="C14" s="7">
        <v>13.974740000000001</v>
      </c>
      <c r="D14" s="6">
        <v>15180.3</v>
      </c>
      <c r="E14" s="7">
        <v>-8.2992380000000008</v>
      </c>
      <c r="F14" s="6">
        <v>14294.05</v>
      </c>
      <c r="G14" s="7">
        <v>-5.8381590000000001</v>
      </c>
      <c r="H14" s="6">
        <v>19121.21</v>
      </c>
      <c r="I14" s="7">
        <v>33.770415</v>
      </c>
      <c r="J14" s="6">
        <v>26326.15</v>
      </c>
      <c r="K14" s="7">
        <v>37.680356000000003</v>
      </c>
    </row>
    <row r="15" spans="1:11" ht="24" customHeight="1">
      <c r="A15" s="8" t="s">
        <v>223</v>
      </c>
      <c r="B15" s="6">
        <v>11835</v>
      </c>
      <c r="C15" s="7">
        <v>-3.7097180000000001</v>
      </c>
      <c r="D15" s="6">
        <v>12669.5</v>
      </c>
      <c r="E15" s="7">
        <v>7.0511200000000001</v>
      </c>
      <c r="F15" s="6">
        <v>10832.06</v>
      </c>
      <c r="G15" s="7">
        <v>-14.502860999999999</v>
      </c>
      <c r="H15" s="6">
        <v>15604.09</v>
      </c>
      <c r="I15" s="7">
        <v>44.054685999999997</v>
      </c>
      <c r="J15" s="6">
        <v>9878.06</v>
      </c>
      <c r="K15" s="7">
        <v>-36.695700000000002</v>
      </c>
    </row>
    <row r="16" spans="1:11" ht="24" customHeight="1">
      <c r="A16" s="8" t="s">
        <v>224</v>
      </c>
      <c r="B16" s="6">
        <v>18543.13</v>
      </c>
      <c r="C16" s="7">
        <v>51.158276999999998</v>
      </c>
      <c r="D16" s="6">
        <v>15747.54</v>
      </c>
      <c r="E16" s="7">
        <v>-15.076148999999999</v>
      </c>
      <c r="F16" s="6">
        <v>19734.97</v>
      </c>
      <c r="G16" s="7">
        <v>25.320971</v>
      </c>
      <c r="H16" s="6">
        <v>26161.97</v>
      </c>
      <c r="I16" s="7">
        <v>32.566555999999999</v>
      </c>
      <c r="J16" s="6">
        <v>24856.67</v>
      </c>
      <c r="K16" s="7">
        <v>-4.9893029999999996</v>
      </c>
    </row>
    <row r="17" spans="1:11" ht="24" customHeight="1">
      <c r="A17" s="8" t="s">
        <v>225</v>
      </c>
      <c r="B17" s="6">
        <v>21401.07</v>
      </c>
      <c r="C17" s="7">
        <v>60.704887999999997</v>
      </c>
      <c r="D17" s="6">
        <v>15410.02</v>
      </c>
      <c r="E17" s="7">
        <v>-27.994160999999998</v>
      </c>
      <c r="F17" s="6">
        <v>17380.98</v>
      </c>
      <c r="G17" s="7">
        <v>12.79012</v>
      </c>
      <c r="H17" s="6">
        <v>20001.03</v>
      </c>
      <c r="I17" s="7">
        <v>15.074236000000001</v>
      </c>
      <c r="J17" s="6">
        <v>19288.03</v>
      </c>
      <c r="K17" s="7">
        <v>-3.564816</v>
      </c>
    </row>
    <row r="18" spans="1:11" ht="24" customHeight="1">
      <c r="A18" s="11" t="s">
        <v>226</v>
      </c>
      <c r="B18" s="6">
        <v>60742.92</v>
      </c>
      <c r="C18" s="7">
        <v>5.8718769999999996</v>
      </c>
      <c r="D18" s="6">
        <v>56935.96</v>
      </c>
      <c r="E18" s="7">
        <v>-6.2673310000000004</v>
      </c>
      <c r="F18" s="6">
        <v>55960.91</v>
      </c>
      <c r="G18" s="7">
        <v>-1.7125379999999999</v>
      </c>
      <c r="H18" s="6">
        <v>62062.47</v>
      </c>
      <c r="I18" s="7">
        <v>10.903254</v>
      </c>
      <c r="J18" s="6">
        <v>59974.8</v>
      </c>
      <c r="K18" s="7">
        <v>-3.36382</v>
      </c>
    </row>
    <row r="19" spans="1:11" ht="24" customHeight="1">
      <c r="A19" s="8" t="s">
        <v>39</v>
      </c>
      <c r="B19" s="6">
        <v>408873.93</v>
      </c>
      <c r="C19" s="7">
        <v>7.6965960000000004</v>
      </c>
      <c r="D19" s="6">
        <v>448830.7</v>
      </c>
      <c r="E19" s="7">
        <v>9.7723940000000002</v>
      </c>
      <c r="F19" s="6">
        <v>509334.8</v>
      </c>
      <c r="G19" s="7">
        <v>13.480384000000001</v>
      </c>
      <c r="H19" s="6">
        <v>552367.22</v>
      </c>
      <c r="I19" s="7">
        <v>8.4487489999999994</v>
      </c>
      <c r="J19" s="6">
        <v>565708.85</v>
      </c>
      <c r="K19" s="7">
        <v>2.4153549999999999</v>
      </c>
    </row>
    <row r="20" spans="1:11" ht="24" customHeight="1">
      <c r="A20" s="8" t="s">
        <v>40</v>
      </c>
      <c r="B20" s="6">
        <v>47190.080000000002</v>
      </c>
      <c r="C20" s="7">
        <v>36.71987</v>
      </c>
      <c r="D20" s="6">
        <v>51790.48</v>
      </c>
      <c r="E20" s="7">
        <v>9.748659</v>
      </c>
      <c r="F20" s="6">
        <v>63877.55</v>
      </c>
      <c r="G20" s="7">
        <v>23.338401000000001</v>
      </c>
      <c r="H20" s="6">
        <v>66507.3</v>
      </c>
      <c r="I20" s="7">
        <v>4.1168610000000001</v>
      </c>
      <c r="J20" s="6">
        <v>71978.13</v>
      </c>
      <c r="K20" s="7">
        <v>8.2259089999999997</v>
      </c>
    </row>
    <row r="21" spans="1:11" ht="24" customHeight="1">
      <c r="A21" s="8" t="s">
        <v>41</v>
      </c>
      <c r="B21" s="6">
        <v>105910.43</v>
      </c>
      <c r="C21" s="7">
        <v>-5.9274269999999998</v>
      </c>
      <c r="D21" s="6">
        <v>111001.44</v>
      </c>
      <c r="E21" s="7">
        <v>4.8069009999999999</v>
      </c>
      <c r="F21" s="6">
        <v>111461.5</v>
      </c>
      <c r="G21" s="7">
        <v>0.41446300000000003</v>
      </c>
      <c r="H21" s="6">
        <v>140461.4</v>
      </c>
      <c r="I21" s="7">
        <v>26.017862999999998</v>
      </c>
      <c r="J21" s="6">
        <v>131248.97</v>
      </c>
      <c r="K21" s="7">
        <v>-6.5586919999999997</v>
      </c>
    </row>
    <row r="22" spans="1:11" ht="24" customHeight="1">
      <c r="A22" s="8" t="s">
        <v>42</v>
      </c>
      <c r="B22" s="6">
        <v>46483.6</v>
      </c>
      <c r="C22" s="7">
        <v>12.923133999999999</v>
      </c>
      <c r="D22" s="6">
        <v>43014.18</v>
      </c>
      <c r="E22" s="7">
        <v>-7.4637510000000002</v>
      </c>
      <c r="F22" s="6">
        <v>53318.38</v>
      </c>
      <c r="G22" s="7">
        <v>23.955355999999998</v>
      </c>
      <c r="H22" s="6">
        <v>60699.96</v>
      </c>
      <c r="I22" s="7">
        <v>13.844344</v>
      </c>
      <c r="J22" s="6">
        <v>51607.18</v>
      </c>
      <c r="K22" s="7">
        <v>-14.979877999999999</v>
      </c>
    </row>
    <row r="23" spans="1:11" ht="24" customHeight="1">
      <c r="A23" s="8" t="s">
        <v>43</v>
      </c>
      <c r="B23" s="6">
        <v>10111.219999999999</v>
      </c>
      <c r="C23" s="7">
        <v>5.9524249999999999</v>
      </c>
      <c r="D23" s="6">
        <v>7763.98</v>
      </c>
      <c r="E23" s="7">
        <v>-23.214212</v>
      </c>
      <c r="F23" s="6">
        <v>9896.5499999999993</v>
      </c>
      <c r="G23" s="7">
        <v>27.467483999999999</v>
      </c>
      <c r="H23" s="6">
        <v>8945</v>
      </c>
      <c r="I23" s="7">
        <v>-9.614967</v>
      </c>
      <c r="J23" s="6">
        <v>9353.2800000000007</v>
      </c>
      <c r="K23" s="7">
        <v>4.5643380000000002</v>
      </c>
    </row>
    <row r="24" spans="1:11" ht="24" customHeight="1">
      <c r="A24" s="8" t="s">
        <v>44</v>
      </c>
      <c r="B24" s="6">
        <v>47824.74</v>
      </c>
      <c r="C24" s="7">
        <v>6.765307</v>
      </c>
      <c r="D24" s="6">
        <v>60110.720000000001</v>
      </c>
      <c r="E24" s="7">
        <v>25.689591</v>
      </c>
      <c r="F24" s="6">
        <v>68720.92</v>
      </c>
      <c r="G24" s="7">
        <v>14.323900999999999</v>
      </c>
      <c r="H24" s="6">
        <v>77001.8</v>
      </c>
      <c r="I24" s="7">
        <v>12.050013</v>
      </c>
      <c r="J24" s="6">
        <v>75158.33</v>
      </c>
      <c r="K24" s="7">
        <v>-2.3940610000000002</v>
      </c>
    </row>
    <row r="25" spans="1:11" ht="24" customHeight="1">
      <c r="A25" s="8" t="s">
        <v>45</v>
      </c>
      <c r="B25" s="6">
        <v>31694.86</v>
      </c>
      <c r="C25" s="7">
        <v>9.9901479999999996</v>
      </c>
      <c r="D25" s="6">
        <v>38230.550000000003</v>
      </c>
      <c r="E25" s="7">
        <v>20.620661999999999</v>
      </c>
      <c r="F25" s="6">
        <v>34938.76</v>
      </c>
      <c r="G25" s="7">
        <v>-8.6103649999999998</v>
      </c>
      <c r="H25" s="6">
        <v>36657.300000000003</v>
      </c>
      <c r="I25" s="7">
        <v>4.9187209999999997</v>
      </c>
      <c r="J25" s="6">
        <v>38493.910000000003</v>
      </c>
      <c r="K25" s="7">
        <v>5.0102159999999998</v>
      </c>
    </row>
    <row r="26" spans="1:11" ht="24" customHeight="1">
      <c r="A26" s="8" t="s">
        <v>46</v>
      </c>
      <c r="B26" s="6">
        <v>2761.68</v>
      </c>
      <c r="C26" s="7" t="s">
        <v>36</v>
      </c>
      <c r="D26" s="6">
        <v>12374.25</v>
      </c>
      <c r="E26" s="7">
        <v>348.06965300000002</v>
      </c>
      <c r="F26" s="6">
        <v>8685.36</v>
      </c>
      <c r="G26" s="7">
        <v>-29.811019000000002</v>
      </c>
      <c r="H26" s="6">
        <v>10471.91</v>
      </c>
      <c r="I26" s="7">
        <v>20.569671</v>
      </c>
      <c r="J26" s="6">
        <v>10074.64</v>
      </c>
      <c r="K26" s="7">
        <v>-3.7936730000000001</v>
      </c>
    </row>
    <row r="27" spans="1:11" ht="24" customHeight="1">
      <c r="A27" s="8" t="s">
        <v>47</v>
      </c>
      <c r="B27" s="6">
        <v>100932.82</v>
      </c>
      <c r="C27" s="7">
        <v>7.4390039999999997</v>
      </c>
      <c r="D27" s="6">
        <v>112752.24</v>
      </c>
      <c r="E27" s="7">
        <v>11.710184999999999</v>
      </c>
      <c r="F27" s="6">
        <v>149234.19</v>
      </c>
      <c r="G27" s="7">
        <v>32.355854000000001</v>
      </c>
      <c r="H27" s="6">
        <v>140212.71</v>
      </c>
      <c r="I27" s="7">
        <v>-6.0451829999999998</v>
      </c>
      <c r="J27" s="6">
        <v>166393.62</v>
      </c>
      <c r="K27" s="7">
        <v>18.672280000000001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264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266</v>
      </c>
      <c r="B30" s="6">
        <v>374203.68</v>
      </c>
      <c r="C30" s="7">
        <v>7.4733049999999999</v>
      </c>
      <c r="D30" s="6">
        <v>402359.14</v>
      </c>
      <c r="E30" s="7">
        <v>7.5240999999999998</v>
      </c>
      <c r="F30" s="6">
        <v>424325.04</v>
      </c>
      <c r="G30" s="7">
        <v>5.4592770000000002</v>
      </c>
      <c r="H30" s="6">
        <v>462998.09</v>
      </c>
      <c r="I30" s="7">
        <v>9.1140159999999995</v>
      </c>
      <c r="J30" s="6">
        <v>482378.46</v>
      </c>
      <c r="K30" s="7">
        <v>4.1858420000000001</v>
      </c>
    </row>
    <row r="31" spans="1:11" ht="24" customHeight="1">
      <c r="A31" s="8" t="s">
        <v>26</v>
      </c>
      <c r="B31" s="6">
        <v>96019.92</v>
      </c>
      <c r="C31" s="7">
        <v>13.638152</v>
      </c>
      <c r="D31" s="6">
        <v>99864.89</v>
      </c>
      <c r="E31" s="7">
        <v>4.004346</v>
      </c>
      <c r="F31" s="6">
        <v>111772.56</v>
      </c>
      <c r="G31" s="7">
        <v>11.923780000000001</v>
      </c>
      <c r="H31" s="6">
        <v>130044.75</v>
      </c>
      <c r="I31" s="7">
        <v>16.347653000000001</v>
      </c>
      <c r="J31" s="6">
        <v>136617.21</v>
      </c>
      <c r="K31" s="7">
        <v>5.0539990000000001</v>
      </c>
    </row>
    <row r="32" spans="1:11" ht="24" customHeight="1">
      <c r="A32" s="8" t="s">
        <v>27</v>
      </c>
      <c r="B32" s="6">
        <v>150127.31</v>
      </c>
      <c r="C32" s="7">
        <v>3.7505959999999998</v>
      </c>
      <c r="D32" s="6">
        <v>155683.51</v>
      </c>
      <c r="E32" s="7">
        <v>3.7009919999999998</v>
      </c>
      <c r="F32" s="6">
        <v>182565.87</v>
      </c>
      <c r="G32" s="7">
        <v>17.267313999999999</v>
      </c>
      <c r="H32" s="6">
        <v>206883.46</v>
      </c>
      <c r="I32" s="7">
        <v>13.319898999999999</v>
      </c>
      <c r="J32" s="6">
        <v>183788.52</v>
      </c>
      <c r="K32" s="7">
        <v>-11.163261</v>
      </c>
    </row>
    <row r="33" spans="1:11" ht="24" customHeight="1" thickBot="1">
      <c r="A33" s="14" t="s">
        <v>28</v>
      </c>
      <c r="B33" s="15">
        <v>25510</v>
      </c>
      <c r="C33" s="16">
        <v>34.250793000000002</v>
      </c>
      <c r="D33" s="15">
        <v>24293.3</v>
      </c>
      <c r="E33" s="16">
        <v>-4.7695020000000001</v>
      </c>
      <c r="F33" s="15">
        <v>31208.71</v>
      </c>
      <c r="G33" s="16">
        <v>28.466325999999999</v>
      </c>
      <c r="H33" s="15">
        <v>35616.65</v>
      </c>
      <c r="I33" s="16">
        <v>14.12407</v>
      </c>
      <c r="J33" s="15">
        <v>36392.46</v>
      </c>
      <c r="K33" s="16">
        <v>2.178223</v>
      </c>
    </row>
    <row r="35" spans="1:11" s="21" customFormat="1">
      <c r="A35" s="21" t="s">
        <v>294</v>
      </c>
    </row>
    <row r="36" spans="1:11" ht="11.9" customHeight="1">
      <c r="A36" s="244" t="s">
        <v>53</v>
      </c>
      <c r="B36" s="244"/>
      <c r="C36" s="244"/>
      <c r="D36" s="244"/>
      <c r="E36" s="244"/>
      <c r="F36" s="244"/>
      <c r="G36" s="244"/>
      <c r="H36" s="244"/>
      <c r="I36" s="244"/>
      <c r="J36" s="244"/>
      <c r="K36" s="244"/>
    </row>
    <row r="37" spans="1:11" ht="11.9" customHeight="1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</row>
    <row r="38" spans="1:11" ht="11.9" customHeight="1">
      <c r="A38" s="3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1.9" customHeight="1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</row>
    <row r="40" spans="1:11" ht="11.9" customHeight="1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</row>
    <row r="41" spans="1:11" ht="11.9" customHeight="1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</row>
    <row r="42" spans="1:11" ht="11.9" customHeight="1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</row>
    <row r="43" spans="1:11">
      <c r="A43" s="20"/>
    </row>
    <row r="44" spans="1:11">
      <c r="A44" s="24"/>
    </row>
  </sheetData>
  <mergeCells count="12">
    <mergeCell ref="A39:K39"/>
    <mergeCell ref="A40:K40"/>
    <mergeCell ref="A41:K41"/>
    <mergeCell ref="A42:K42"/>
    <mergeCell ref="A36:K36"/>
    <mergeCell ref="A37:K37"/>
    <mergeCell ref="A4:A5"/>
    <mergeCell ref="F4:F5"/>
    <mergeCell ref="D4:D5"/>
    <mergeCell ref="B4:B5"/>
    <mergeCell ref="H4:H5"/>
    <mergeCell ref="J4:J5"/>
  </mergeCells>
  <phoneticPr fontId="2"/>
  <pageMargins left="0.75" right="0.75" top="1" bottom="1" header="0.51200000000000001" footer="0.51200000000000001"/>
  <pageSetup paperSize="9" scale="5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23B8-E321-428F-A625-EBB4F9CD4060}">
  <sheetPr>
    <tabColor rgb="FFFFC000"/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25" t="s">
        <v>54</v>
      </c>
      <c r="D1" s="1" t="s">
        <v>55</v>
      </c>
    </row>
    <row r="3" spans="1:11" ht="11.5" thickBot="1">
      <c r="K3" s="3" t="s">
        <v>3</v>
      </c>
    </row>
    <row r="4" spans="1:11" ht="12" customHeight="1" thickBot="1">
      <c r="A4" s="236" t="s">
        <v>30</v>
      </c>
      <c r="B4" s="240" t="s">
        <v>254</v>
      </c>
      <c r="C4" s="180"/>
      <c r="D4" s="238">
        <v>2015</v>
      </c>
      <c r="E4" s="180"/>
      <c r="F4" s="238">
        <v>2016</v>
      </c>
      <c r="G4" s="180"/>
      <c r="H4" s="238">
        <v>2017</v>
      </c>
      <c r="I4" s="180"/>
      <c r="J4" s="238">
        <v>2018</v>
      </c>
      <c r="K4" s="180"/>
    </row>
    <row r="5" spans="1:11" ht="25" customHeight="1" thickBot="1">
      <c r="A5" s="237"/>
      <c r="B5" s="241"/>
      <c r="C5" s="4" t="s">
        <v>7</v>
      </c>
      <c r="D5" s="239"/>
      <c r="E5" s="4" t="s">
        <v>7</v>
      </c>
      <c r="F5" s="239"/>
      <c r="G5" s="4" t="s">
        <v>7</v>
      </c>
      <c r="H5" s="241"/>
      <c r="I5" s="4" t="s">
        <v>7</v>
      </c>
      <c r="J5" s="241"/>
      <c r="K5" s="4" t="s">
        <v>7</v>
      </c>
    </row>
    <row r="6" spans="1:11" ht="15" customHeight="1">
      <c r="A6" s="5" t="s">
        <v>31</v>
      </c>
      <c r="B6" s="26">
        <v>533635.18999999994</v>
      </c>
      <c r="C6" s="27">
        <v>9.6993849999999995</v>
      </c>
      <c r="D6" s="26">
        <v>564937.55000000005</v>
      </c>
      <c r="E6" s="27">
        <v>5.8658729999999997</v>
      </c>
      <c r="F6" s="26">
        <v>587283.32999999996</v>
      </c>
      <c r="G6" s="27">
        <v>3.9554429999999998</v>
      </c>
      <c r="H6" s="26">
        <v>674440.32</v>
      </c>
      <c r="I6" s="27">
        <v>14.840706000000001</v>
      </c>
      <c r="J6" s="26">
        <v>677295.16</v>
      </c>
      <c r="K6" s="27">
        <v>0.42329</v>
      </c>
    </row>
    <row r="7" spans="1:11" ht="15" customHeight="1">
      <c r="A7" s="8" t="s">
        <v>32</v>
      </c>
      <c r="B7" s="29">
        <v>168811.26</v>
      </c>
      <c r="C7" s="28">
        <v>4.5345199999999997</v>
      </c>
      <c r="D7" s="29">
        <v>170395.72</v>
      </c>
      <c r="E7" s="28">
        <v>0.93859899999999996</v>
      </c>
      <c r="F7" s="29">
        <v>172318.94</v>
      </c>
      <c r="G7" s="28">
        <v>1.128679</v>
      </c>
      <c r="H7" s="29">
        <v>205366.39</v>
      </c>
      <c r="I7" s="28">
        <v>19.178072</v>
      </c>
      <c r="J7" s="29">
        <v>191516.53</v>
      </c>
      <c r="K7" s="28">
        <v>-6.743976</v>
      </c>
    </row>
    <row r="8" spans="1:11" ht="15" customHeight="1" thickBot="1">
      <c r="A8" s="14" t="s">
        <v>56</v>
      </c>
      <c r="B8" s="30">
        <v>364823.93</v>
      </c>
      <c r="C8" s="31">
        <v>12.266029</v>
      </c>
      <c r="D8" s="30">
        <v>394541.83</v>
      </c>
      <c r="E8" s="31">
        <v>8.1458200000000005</v>
      </c>
      <c r="F8" s="30">
        <v>414964.39</v>
      </c>
      <c r="G8" s="31">
        <v>5.176272</v>
      </c>
      <c r="H8" s="30">
        <v>469073.93</v>
      </c>
      <c r="I8" s="31">
        <v>13.039562</v>
      </c>
      <c r="J8" s="30">
        <v>485778.63</v>
      </c>
      <c r="K8" s="31">
        <v>3.5612080000000002</v>
      </c>
    </row>
    <row r="9" spans="1:11" ht="11.9" customHeight="1">
      <c r="A9" s="32"/>
      <c r="B9" s="19"/>
      <c r="C9" s="18"/>
      <c r="D9" s="19"/>
      <c r="E9" s="18"/>
      <c r="F9" s="19"/>
      <c r="G9" s="18"/>
      <c r="H9" s="19"/>
      <c r="I9" s="18"/>
      <c r="J9" s="19"/>
      <c r="K9" s="18"/>
    </row>
    <row r="10" spans="1:11">
      <c r="A10" s="21" t="s">
        <v>300</v>
      </c>
    </row>
    <row r="11" spans="1:11">
      <c r="A11" s="20"/>
    </row>
    <row r="12" spans="1:11">
      <c r="A12" s="21"/>
    </row>
  </sheetData>
  <mergeCells count="6">
    <mergeCell ref="H4:H5"/>
    <mergeCell ref="J4:J5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3" orientation="landscape" horizontalDpi="300" verticalDpi="300" r:id="rId1"/>
  <headerFooter alignWithMargins="0"/>
  <ignoredErrors>
    <ignoredError sqref="B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B21D-9FE2-4AA8-BDF4-1191D17AA06B}">
  <sheetPr>
    <tabColor rgb="FFFFC000"/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26953125" style="2" customWidth="1"/>
    <col min="74" max="16384" width="9" style="2"/>
  </cols>
  <sheetData>
    <row r="1" spans="1:11" ht="19">
      <c r="B1" s="1" t="s">
        <v>57</v>
      </c>
    </row>
    <row r="3" spans="1:11" ht="11.5" thickBot="1">
      <c r="K3" s="3" t="s">
        <v>58</v>
      </c>
    </row>
    <row r="4" spans="1:11" ht="12" customHeight="1" thickBot="1">
      <c r="A4" s="236" t="s">
        <v>30</v>
      </c>
      <c r="B4" s="245" t="s">
        <v>59</v>
      </c>
      <c r="C4" s="245"/>
      <c r="D4" s="245"/>
      <c r="E4" s="245"/>
      <c r="F4" s="245"/>
      <c r="G4" s="245" t="s">
        <v>60</v>
      </c>
      <c r="H4" s="245"/>
      <c r="I4" s="245"/>
      <c r="J4" s="245"/>
      <c r="K4" s="245"/>
    </row>
    <row r="5" spans="1:11" ht="12" customHeight="1" thickBot="1">
      <c r="A5" s="237"/>
      <c r="B5" s="184">
        <v>2014</v>
      </c>
      <c r="C5" s="184">
        <v>2015</v>
      </c>
      <c r="D5" s="184">
        <v>2016</v>
      </c>
      <c r="E5" s="184" t="s">
        <v>321</v>
      </c>
      <c r="F5" s="33" t="s">
        <v>322</v>
      </c>
      <c r="G5" s="184">
        <v>2014</v>
      </c>
      <c r="H5" s="184">
        <v>2015</v>
      </c>
      <c r="I5" s="184">
        <v>2016</v>
      </c>
      <c r="J5" s="184" t="s">
        <v>321</v>
      </c>
      <c r="K5" s="33" t="s">
        <v>322</v>
      </c>
    </row>
    <row r="6" spans="1:11" ht="24" customHeight="1">
      <c r="A6" s="5" t="s">
        <v>31</v>
      </c>
      <c r="B6" s="13">
        <v>3.685727</v>
      </c>
      <c r="C6" s="13">
        <v>3.9463780000000002</v>
      </c>
      <c r="D6" s="13">
        <v>4.0342149999999997</v>
      </c>
      <c r="E6" s="13">
        <v>4.3677330000000003</v>
      </c>
      <c r="F6" s="13">
        <v>4.4117389999999999</v>
      </c>
      <c r="G6" s="13">
        <v>4.4608509999999999</v>
      </c>
      <c r="H6" s="13">
        <v>4.765523</v>
      </c>
      <c r="I6" s="13">
        <v>5.1510829999999999</v>
      </c>
      <c r="J6" s="13">
        <v>5.4110469999999999</v>
      </c>
      <c r="K6" s="13">
        <v>5.4661960000000001</v>
      </c>
    </row>
    <row r="7" spans="1:11" ht="24" customHeight="1">
      <c r="A7" s="8" t="s">
        <v>32</v>
      </c>
      <c r="B7" s="7">
        <v>4.1673309999999999</v>
      </c>
      <c r="C7" s="7">
        <v>4.2829980000000001</v>
      </c>
      <c r="D7" s="7">
        <v>4.3563130000000001</v>
      </c>
      <c r="E7" s="7">
        <v>5.0550509999999997</v>
      </c>
      <c r="F7" s="7">
        <v>4.6229909999999999</v>
      </c>
      <c r="G7" s="7">
        <v>5.8503400000000001</v>
      </c>
      <c r="H7" s="7">
        <v>5.8658979999999996</v>
      </c>
      <c r="I7" s="7">
        <v>6.0809110000000004</v>
      </c>
      <c r="J7" s="7">
        <v>6.9703119999999998</v>
      </c>
      <c r="K7" s="7">
        <v>6.6012009999999997</v>
      </c>
    </row>
    <row r="8" spans="1:11" ht="24" customHeight="1">
      <c r="A8" s="8" t="s">
        <v>33</v>
      </c>
      <c r="B8" s="7">
        <v>2.5534629999999998</v>
      </c>
      <c r="C8" s="7">
        <v>3.1552440000000002</v>
      </c>
      <c r="D8" s="7">
        <v>3.822209</v>
      </c>
      <c r="E8" s="7">
        <v>3.4719329999999999</v>
      </c>
      <c r="F8" s="7">
        <v>3.5040520000000002</v>
      </c>
      <c r="G8" s="7">
        <v>3.2800060000000002</v>
      </c>
      <c r="H8" s="7">
        <v>4.0854299999999997</v>
      </c>
      <c r="I8" s="7">
        <v>4.4646710000000001</v>
      </c>
      <c r="J8" s="7">
        <v>4.3820230000000002</v>
      </c>
      <c r="K8" s="7">
        <v>4.2917100000000001</v>
      </c>
    </row>
    <row r="9" spans="1:11" ht="24" customHeight="1">
      <c r="A9" s="8" t="s">
        <v>34</v>
      </c>
      <c r="B9" s="7">
        <v>6.7165710000000001</v>
      </c>
      <c r="C9" s="7">
        <v>7.6650549999999997</v>
      </c>
      <c r="D9" s="7">
        <v>8.3628599999999995</v>
      </c>
      <c r="E9" s="7">
        <v>8.8946919999999992</v>
      </c>
      <c r="F9" s="7">
        <v>8.5817479999999993</v>
      </c>
      <c r="G9" s="7">
        <v>8.3230570000000004</v>
      </c>
      <c r="H9" s="7">
        <v>9.3097159999999999</v>
      </c>
      <c r="I9" s="7">
        <v>10.077759</v>
      </c>
      <c r="J9" s="7">
        <v>11.579549</v>
      </c>
      <c r="K9" s="7">
        <v>10.599721000000001</v>
      </c>
    </row>
    <row r="10" spans="1:11" s="10" customFormat="1" ht="24" customHeight="1">
      <c r="A10" s="9" t="s">
        <v>35</v>
      </c>
      <c r="B10" s="7">
        <v>-1.115559</v>
      </c>
      <c r="C10" s="7">
        <v>-0.593893</v>
      </c>
      <c r="D10" s="7">
        <v>3.241295</v>
      </c>
      <c r="E10" s="7">
        <v>3.3444229999999999</v>
      </c>
      <c r="F10" s="7">
        <v>1.699621</v>
      </c>
      <c r="G10" s="7">
        <v>-0.68069400000000002</v>
      </c>
      <c r="H10" s="7">
        <v>-0.23876900000000001</v>
      </c>
      <c r="I10" s="7">
        <v>3.4221509999999999</v>
      </c>
      <c r="J10" s="7">
        <v>3.6139899999999998</v>
      </c>
      <c r="K10" s="7">
        <v>2.046011</v>
      </c>
    </row>
    <row r="11" spans="1:11" s="10" customFormat="1" ht="24" customHeight="1">
      <c r="A11" s="9" t="s">
        <v>37</v>
      </c>
      <c r="B11" s="7">
        <v>4.1144439999999998</v>
      </c>
      <c r="C11" s="7">
        <v>2.3025910000000001</v>
      </c>
      <c r="D11" s="7">
        <v>1.7449939999999999</v>
      </c>
      <c r="E11" s="7">
        <v>3.2059419999999998</v>
      </c>
      <c r="F11" s="7">
        <v>2.5096949999999998</v>
      </c>
      <c r="G11" s="7">
        <v>5.1168329999999997</v>
      </c>
      <c r="H11" s="7">
        <v>3.228297</v>
      </c>
      <c r="I11" s="7">
        <v>2.6671719999999999</v>
      </c>
      <c r="J11" s="7">
        <v>4.4477399999999996</v>
      </c>
      <c r="K11" s="7">
        <v>3.847359</v>
      </c>
    </row>
    <row r="12" spans="1:11" ht="24" customHeight="1">
      <c r="A12" s="8" t="s">
        <v>38</v>
      </c>
      <c r="B12" s="7">
        <v>4.2036530000000001</v>
      </c>
      <c r="C12" s="7">
        <v>4.1512599999999997</v>
      </c>
      <c r="D12" s="7">
        <v>3.8673700000000002</v>
      </c>
      <c r="E12" s="7">
        <v>4.418361</v>
      </c>
      <c r="F12" s="7">
        <v>3.6766420000000002</v>
      </c>
      <c r="G12" s="7">
        <v>5.0323079999999996</v>
      </c>
      <c r="H12" s="7">
        <v>4.7809749999999998</v>
      </c>
      <c r="I12" s="7">
        <v>4.7402610000000003</v>
      </c>
      <c r="J12" s="7">
        <v>5.3689580000000001</v>
      </c>
      <c r="K12" s="7">
        <v>4.9801149999999996</v>
      </c>
    </row>
    <row r="13" spans="1:11" ht="24" customHeight="1">
      <c r="A13" s="8" t="s">
        <v>221</v>
      </c>
      <c r="B13" s="7">
        <v>5.1547859999999996</v>
      </c>
      <c r="C13" s="7">
        <v>6.0765120000000001</v>
      </c>
      <c r="D13" s="7">
        <v>6.1052429999999998</v>
      </c>
      <c r="E13" s="7">
        <v>6.688428</v>
      </c>
      <c r="F13" s="7">
        <v>6.6947570000000001</v>
      </c>
      <c r="G13" s="7">
        <v>6.6050529999999998</v>
      </c>
      <c r="H13" s="7">
        <v>7.2728270000000004</v>
      </c>
      <c r="I13" s="7">
        <v>7.6808079999999999</v>
      </c>
      <c r="J13" s="7">
        <v>8.2876569999999994</v>
      </c>
      <c r="K13" s="7">
        <v>8.0003250000000001</v>
      </c>
    </row>
    <row r="14" spans="1:11" ht="24" customHeight="1">
      <c r="A14" s="8" t="s">
        <v>222</v>
      </c>
      <c r="B14" s="7">
        <v>5.6182179999999997</v>
      </c>
      <c r="C14" s="7">
        <v>5.6312930000000003</v>
      </c>
      <c r="D14" s="7">
        <v>5.1901039999999998</v>
      </c>
      <c r="E14" s="7">
        <v>6.4959509999999998</v>
      </c>
      <c r="F14" s="7">
        <v>7.1605910000000002</v>
      </c>
      <c r="G14" s="7">
        <v>7.1053899999999999</v>
      </c>
      <c r="H14" s="7">
        <v>6.7241910000000003</v>
      </c>
      <c r="I14" s="7">
        <v>6.3718969999999997</v>
      </c>
      <c r="J14" s="7">
        <v>7.8847149999999999</v>
      </c>
      <c r="K14" s="7">
        <v>9.7926859999999998</v>
      </c>
    </row>
    <row r="15" spans="1:11" ht="24" customHeight="1">
      <c r="A15" s="8" t="s">
        <v>223</v>
      </c>
      <c r="B15" s="7">
        <v>5.8081769999999997</v>
      </c>
      <c r="C15" s="7">
        <v>5.469932</v>
      </c>
      <c r="D15" s="7">
        <v>4.8745029999999998</v>
      </c>
      <c r="E15" s="7">
        <v>6.1479179999999998</v>
      </c>
      <c r="F15" s="7">
        <v>6.5368830000000004</v>
      </c>
      <c r="G15" s="7">
        <v>8.2716659999999997</v>
      </c>
      <c r="H15" s="7">
        <v>8.1523369999999993</v>
      </c>
      <c r="I15" s="7">
        <v>7.5372149999999998</v>
      </c>
      <c r="J15" s="7">
        <v>11.516249999999999</v>
      </c>
      <c r="K15" s="7">
        <v>7.3576459999999999</v>
      </c>
    </row>
    <row r="16" spans="1:11" ht="24" customHeight="1">
      <c r="A16" s="8" t="s">
        <v>224</v>
      </c>
      <c r="B16" s="7">
        <v>4.5976759999999999</v>
      </c>
      <c r="C16" s="7">
        <v>3.7449499999999998</v>
      </c>
      <c r="D16" s="7">
        <v>3.7670919999999999</v>
      </c>
      <c r="E16" s="7">
        <v>5.838768</v>
      </c>
      <c r="F16" s="7">
        <v>4.9491350000000001</v>
      </c>
      <c r="G16" s="7">
        <v>6.343</v>
      </c>
      <c r="H16" s="7">
        <v>5.5046400000000002</v>
      </c>
      <c r="I16" s="7">
        <v>6.3090719999999996</v>
      </c>
      <c r="J16" s="7">
        <v>8.2949199999999994</v>
      </c>
      <c r="K16" s="7">
        <v>7.8177310000000002</v>
      </c>
    </row>
    <row r="17" spans="1:11" ht="24" customHeight="1">
      <c r="A17" s="8" t="s">
        <v>225</v>
      </c>
      <c r="B17" s="7">
        <v>4.0430130000000002</v>
      </c>
      <c r="C17" s="7">
        <v>2.7461280000000001</v>
      </c>
      <c r="D17" s="7">
        <v>3.4298639999999998</v>
      </c>
      <c r="E17" s="7">
        <v>4.9973929999999998</v>
      </c>
      <c r="F17" s="7">
        <v>4.4780930000000003</v>
      </c>
      <c r="G17" s="7">
        <v>6.3972280000000001</v>
      </c>
      <c r="H17" s="7">
        <v>4.4683099999999998</v>
      </c>
      <c r="I17" s="7">
        <v>5.0872390000000003</v>
      </c>
      <c r="J17" s="7">
        <v>6.1857699999999998</v>
      </c>
      <c r="K17" s="7">
        <v>5.7968539999999997</v>
      </c>
    </row>
    <row r="18" spans="1:11" ht="24" customHeight="1">
      <c r="A18" s="11" t="s">
        <v>226</v>
      </c>
      <c r="B18" s="7">
        <v>5.4807509999999997</v>
      </c>
      <c r="C18" s="7">
        <v>5.0318240000000003</v>
      </c>
      <c r="D18" s="7">
        <v>3.9678650000000002</v>
      </c>
      <c r="E18" s="7">
        <v>4.8873759999999997</v>
      </c>
      <c r="F18" s="7">
        <v>3.90124</v>
      </c>
      <c r="G18" s="7">
        <v>8.8194789999999994</v>
      </c>
      <c r="H18" s="7">
        <v>8.0290389999999991</v>
      </c>
      <c r="I18" s="7">
        <v>7.4587969999999997</v>
      </c>
      <c r="J18" s="7">
        <v>7.9419300000000002</v>
      </c>
      <c r="K18" s="7">
        <v>7.5426710000000003</v>
      </c>
    </row>
    <row r="19" spans="1:11" ht="24" customHeight="1">
      <c r="A19" s="8" t="s">
        <v>61</v>
      </c>
      <c r="B19" s="7">
        <v>3.498637</v>
      </c>
      <c r="C19" s="7">
        <v>3.8168220000000002</v>
      </c>
      <c r="D19" s="7">
        <v>3.9140389999999998</v>
      </c>
      <c r="E19" s="7">
        <v>4.1223390000000002</v>
      </c>
      <c r="F19" s="7">
        <v>4.333666</v>
      </c>
      <c r="G19" s="7">
        <v>3.9210739999999999</v>
      </c>
      <c r="H19" s="7">
        <v>4.3420160000000001</v>
      </c>
      <c r="I19" s="7">
        <v>4.8041619999999998</v>
      </c>
      <c r="J19" s="7">
        <v>4.8543409999999998</v>
      </c>
      <c r="K19" s="7">
        <v>5.046729</v>
      </c>
    </row>
    <row r="20" spans="1:11" ht="24" customHeight="1">
      <c r="A20" s="8" t="s">
        <v>40</v>
      </c>
      <c r="B20" s="7">
        <v>3.2363909999999998</v>
      </c>
      <c r="C20" s="7">
        <v>3.908833</v>
      </c>
      <c r="D20" s="7">
        <v>4.582687</v>
      </c>
      <c r="E20" s="7">
        <v>4.2281129999999996</v>
      </c>
      <c r="F20" s="7">
        <v>4.3681890000000001</v>
      </c>
      <c r="G20" s="7">
        <v>3.6719560000000002</v>
      </c>
      <c r="H20" s="7">
        <v>4.22044</v>
      </c>
      <c r="I20" s="7">
        <v>4.9530479999999999</v>
      </c>
      <c r="J20" s="7">
        <v>4.7129770000000004</v>
      </c>
      <c r="K20" s="7">
        <v>4.9653830000000001</v>
      </c>
    </row>
    <row r="21" spans="1:11" ht="24" customHeight="1">
      <c r="A21" s="8" t="s">
        <v>41</v>
      </c>
      <c r="B21" s="7">
        <v>1.447667</v>
      </c>
      <c r="C21" s="7">
        <v>1.556133</v>
      </c>
      <c r="D21" s="7">
        <v>1.59921</v>
      </c>
      <c r="E21" s="7">
        <v>1.718291</v>
      </c>
      <c r="F21" s="7">
        <v>1.705228</v>
      </c>
      <c r="G21" s="7">
        <v>1.9807790000000001</v>
      </c>
      <c r="H21" s="7">
        <v>2.1087660000000001</v>
      </c>
      <c r="I21" s="7">
        <v>2.0967709999999999</v>
      </c>
      <c r="J21" s="7">
        <v>2.4123329999999998</v>
      </c>
      <c r="K21" s="7">
        <v>2.3969330000000002</v>
      </c>
    </row>
    <row r="22" spans="1:11" ht="24" customHeight="1">
      <c r="A22" s="8" t="s">
        <v>42</v>
      </c>
      <c r="B22" s="7">
        <v>12.585516999999999</v>
      </c>
      <c r="C22" s="7">
        <v>11.641823</v>
      </c>
      <c r="D22" s="7">
        <v>11.539071</v>
      </c>
      <c r="E22" s="7">
        <v>13.151679</v>
      </c>
      <c r="F22" s="7">
        <v>11.080253000000001</v>
      </c>
      <c r="G22" s="7">
        <v>12.569525000000001</v>
      </c>
      <c r="H22" s="7">
        <v>10.921872</v>
      </c>
      <c r="I22" s="7">
        <v>12.404698</v>
      </c>
      <c r="J22" s="7">
        <v>13.975365</v>
      </c>
      <c r="K22" s="7">
        <v>11.089650000000001</v>
      </c>
    </row>
    <row r="23" spans="1:11" ht="24" customHeight="1">
      <c r="A23" s="8" t="s">
        <v>43</v>
      </c>
      <c r="B23" s="7">
        <v>7.3777609999999996</v>
      </c>
      <c r="C23" s="7">
        <v>5.5009800000000002</v>
      </c>
      <c r="D23" s="7">
        <v>4.7608649999999999</v>
      </c>
      <c r="E23" s="7">
        <v>6.1094049999999998</v>
      </c>
      <c r="F23" s="7">
        <v>7.4641539999999997</v>
      </c>
      <c r="G23" s="7">
        <v>6.2854809999999999</v>
      </c>
      <c r="H23" s="7">
        <v>4.9446250000000003</v>
      </c>
      <c r="I23" s="7">
        <v>6.2789289999999998</v>
      </c>
      <c r="J23" s="7">
        <v>5.8516510000000004</v>
      </c>
      <c r="K23" s="7">
        <v>5.7991239999999999</v>
      </c>
    </row>
    <row r="24" spans="1:11" ht="24" customHeight="1">
      <c r="A24" s="8" t="s">
        <v>44</v>
      </c>
      <c r="B24" s="7">
        <v>7.6575350000000002</v>
      </c>
      <c r="C24" s="7">
        <v>8.7424330000000001</v>
      </c>
      <c r="D24" s="7">
        <v>9.523263</v>
      </c>
      <c r="E24" s="7">
        <v>9.5778719999999993</v>
      </c>
      <c r="F24" s="7">
        <v>8.861777</v>
      </c>
      <c r="G24" s="7">
        <v>8.0275750000000006</v>
      </c>
      <c r="H24" s="7">
        <v>9.0458700000000007</v>
      </c>
      <c r="I24" s="7">
        <v>9.9856700000000007</v>
      </c>
      <c r="J24" s="7">
        <v>10.562148000000001</v>
      </c>
      <c r="K24" s="7">
        <v>9.8659599999999994</v>
      </c>
    </row>
    <row r="25" spans="1:11" ht="24" customHeight="1">
      <c r="A25" s="8" t="s">
        <v>45</v>
      </c>
      <c r="B25" s="7">
        <v>4.1692669999999996</v>
      </c>
      <c r="C25" s="7">
        <v>5.0314940000000004</v>
      </c>
      <c r="D25" s="7">
        <v>4.7811769999999996</v>
      </c>
      <c r="E25" s="7">
        <v>5.089594</v>
      </c>
      <c r="F25" s="7">
        <v>4.9203809999999999</v>
      </c>
      <c r="G25" s="7">
        <v>4.566541</v>
      </c>
      <c r="H25" s="7">
        <v>5.4792269999999998</v>
      </c>
      <c r="I25" s="7">
        <v>5.3506489999999998</v>
      </c>
      <c r="J25" s="7">
        <v>5.550643</v>
      </c>
      <c r="K25" s="7">
        <v>5.3566060000000002</v>
      </c>
    </row>
    <row r="26" spans="1:11" ht="24" customHeight="1">
      <c r="A26" s="8" t="s">
        <v>46</v>
      </c>
      <c r="B26" s="7">
        <v>2.774</v>
      </c>
      <c r="C26" s="7">
        <v>6.8842920000000003</v>
      </c>
      <c r="D26" s="7">
        <v>4.2428480000000004</v>
      </c>
      <c r="E26" s="7">
        <v>4.5381159999999996</v>
      </c>
      <c r="F26" s="7">
        <v>3.6761439999999999</v>
      </c>
      <c r="G26" s="7">
        <v>1.2461150000000001</v>
      </c>
      <c r="H26" s="7">
        <v>6.0309330000000001</v>
      </c>
      <c r="I26" s="7">
        <v>3.6903359999999998</v>
      </c>
      <c r="J26" s="7">
        <v>4.0441440000000002</v>
      </c>
      <c r="K26" s="7">
        <v>3.6521750000000002</v>
      </c>
    </row>
    <row r="27" spans="1:11" ht="24" customHeight="1" thickBot="1">
      <c r="A27" s="14" t="s">
        <v>47</v>
      </c>
      <c r="B27" s="16">
        <v>5.7467230000000002</v>
      </c>
      <c r="C27" s="16">
        <v>5.7800010000000004</v>
      </c>
      <c r="D27" s="16">
        <v>5.872128</v>
      </c>
      <c r="E27" s="16">
        <v>6.737228</v>
      </c>
      <c r="F27" s="16">
        <v>8.2518770000000004</v>
      </c>
      <c r="G27" s="16">
        <v>6.2372969999999999</v>
      </c>
      <c r="H27" s="16">
        <v>7.0174560000000001</v>
      </c>
      <c r="I27" s="16">
        <v>8.6514469999999992</v>
      </c>
      <c r="J27" s="16">
        <v>7.8891749999999998</v>
      </c>
      <c r="K27" s="16">
        <v>9.4547120000000007</v>
      </c>
    </row>
    <row r="28" spans="1:11" ht="24" customHeight="1">
      <c r="A28" s="8" t="s">
        <v>48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49</v>
      </c>
      <c r="B29" s="7">
        <v>5.2032360000000004</v>
      </c>
      <c r="C29" s="7">
        <v>5.867394</v>
      </c>
      <c r="D29" s="7">
        <v>5.7947660000000001</v>
      </c>
      <c r="E29" s="7">
        <v>6.3314380000000003</v>
      </c>
      <c r="F29" s="7">
        <v>6.3623630000000002</v>
      </c>
      <c r="G29" s="7">
        <v>6.6208410000000004</v>
      </c>
      <c r="H29" s="7">
        <v>7.353345</v>
      </c>
      <c r="I29" s="7">
        <v>7.898784</v>
      </c>
      <c r="J29" s="7">
        <v>8.1418090000000003</v>
      </c>
      <c r="K29" s="7">
        <v>8.1783549999999998</v>
      </c>
    </row>
    <row r="30" spans="1:11" ht="24" customHeight="1">
      <c r="A30" s="8" t="s">
        <v>50</v>
      </c>
      <c r="B30" s="7">
        <v>3.4535909999999999</v>
      </c>
      <c r="C30" s="7">
        <v>3.6219679999999999</v>
      </c>
      <c r="D30" s="7">
        <v>3.8387220000000002</v>
      </c>
      <c r="E30" s="7">
        <v>4.0041669999999998</v>
      </c>
      <c r="F30" s="7">
        <v>4.0840509999999997</v>
      </c>
      <c r="G30" s="7">
        <v>3.8138610000000002</v>
      </c>
      <c r="H30" s="7">
        <v>3.9160159999999999</v>
      </c>
      <c r="I30" s="7">
        <v>4.1556920000000002</v>
      </c>
      <c r="J30" s="7">
        <v>4.5297169999999998</v>
      </c>
      <c r="K30" s="7">
        <v>4.5842369999999999</v>
      </c>
    </row>
    <row r="31" spans="1:11" ht="24" customHeight="1">
      <c r="A31" s="8" t="s">
        <v>51</v>
      </c>
      <c r="B31" s="7">
        <v>2.6436839999999999</v>
      </c>
      <c r="C31" s="7">
        <v>2.679065</v>
      </c>
      <c r="D31" s="7">
        <v>3.0156000000000001</v>
      </c>
      <c r="E31" s="7">
        <v>3.17197</v>
      </c>
      <c r="F31" s="7">
        <v>2.9620639999999998</v>
      </c>
      <c r="G31" s="7">
        <v>2.9547020000000002</v>
      </c>
      <c r="H31" s="7">
        <v>3.0582250000000002</v>
      </c>
      <c r="I31" s="7">
        <v>3.4574410000000002</v>
      </c>
      <c r="J31" s="7">
        <v>3.7663739999999999</v>
      </c>
      <c r="K31" s="7">
        <v>3.5778249999999998</v>
      </c>
    </row>
    <row r="32" spans="1:11" ht="24" customHeight="1" thickBot="1">
      <c r="A32" s="14" t="s">
        <v>52</v>
      </c>
      <c r="B32" s="16">
        <v>1.48864</v>
      </c>
      <c r="C32" s="16">
        <v>1.2586569999999999</v>
      </c>
      <c r="D32" s="16">
        <v>1.110994</v>
      </c>
      <c r="E32" s="16">
        <v>1.8119000000000001</v>
      </c>
      <c r="F32" s="16">
        <v>2.1064120000000002</v>
      </c>
      <c r="G32" s="16">
        <v>2.0775320000000002</v>
      </c>
      <c r="H32" s="16">
        <v>2.0198260000000001</v>
      </c>
      <c r="I32" s="16">
        <v>2.5674939999999999</v>
      </c>
      <c r="J32" s="16">
        <v>2.5606499999999999</v>
      </c>
      <c r="K32" s="16">
        <v>2.722254</v>
      </c>
    </row>
    <row r="34" spans="1:11" ht="11.25" customHeight="1">
      <c r="A34" s="242" t="s">
        <v>301</v>
      </c>
      <c r="B34" s="242"/>
      <c r="C34" s="242"/>
      <c r="D34" s="242"/>
      <c r="E34" s="23"/>
      <c r="F34" s="23"/>
      <c r="G34" s="23"/>
      <c r="H34" s="23"/>
      <c r="I34" s="23"/>
      <c r="J34" s="23"/>
      <c r="K34" s="23"/>
    </row>
    <row r="35" spans="1:11" ht="11.25" customHeight="1">
      <c r="A35" s="242"/>
      <c r="B35" s="242"/>
      <c r="C35" s="242"/>
      <c r="D35" s="242"/>
      <c r="E35" s="242"/>
      <c r="F35" s="242"/>
      <c r="G35" s="242"/>
      <c r="H35" s="242"/>
      <c r="I35" s="242"/>
      <c r="J35" s="23"/>
      <c r="K35" s="23"/>
    </row>
    <row r="36" spans="1:11" ht="11.2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ageMargins left="0.75" right="0.75" top="1" bottom="1" header="0.51200000000000001" footer="0.51200000000000001"/>
  <pageSetup paperSize="9" scale="65" orientation="landscape" horizontalDpi="300" verticalDpi="300" r:id="rId1"/>
  <headerFooter alignWithMargins="0"/>
  <ignoredErrors>
    <ignoredError sqref="E5:F5 J5:K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2D1F-BD25-4771-B8B1-31323CB6A211}">
  <sheetPr>
    <tabColor rgb="FFFFC000"/>
    <pageSetUpPr fitToPage="1"/>
  </sheetPr>
  <dimension ref="A1:K13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9.453125" style="2" customWidth="1"/>
    <col min="4" max="4" width="17.7265625" style="2" customWidth="1"/>
    <col min="5" max="5" width="9.453125" style="2" customWidth="1"/>
    <col min="6" max="6" width="17.7265625" style="2" customWidth="1"/>
    <col min="7" max="7" width="9.453125" style="2" customWidth="1"/>
    <col min="8" max="8" width="17.7265625" style="2" customWidth="1"/>
    <col min="9" max="9" width="9.453125" style="2" customWidth="1"/>
    <col min="10" max="10" width="17.7265625" style="2" customWidth="1"/>
    <col min="11" max="11" width="9.453125" style="2" customWidth="1"/>
    <col min="12" max="73" width="10.26953125" style="2" customWidth="1"/>
    <col min="74" max="16384" width="9" style="2"/>
  </cols>
  <sheetData>
    <row r="1" spans="1:11" ht="19">
      <c r="D1" s="1" t="s">
        <v>255</v>
      </c>
    </row>
    <row r="3" spans="1:11" ht="11.5" thickBot="1">
      <c r="K3" s="3" t="s">
        <v>3</v>
      </c>
    </row>
    <row r="4" spans="1:11" ht="12" customHeight="1" thickBot="1">
      <c r="A4" s="247" t="s">
        <v>30</v>
      </c>
      <c r="B4" s="238">
        <v>2014</v>
      </c>
      <c r="C4" s="180"/>
      <c r="D4" s="238">
        <v>2015</v>
      </c>
      <c r="E4" s="180"/>
      <c r="F4" s="238">
        <v>2016</v>
      </c>
      <c r="G4" s="180"/>
      <c r="H4" s="238">
        <v>2017</v>
      </c>
      <c r="I4" s="180"/>
      <c r="J4" s="238">
        <v>2018</v>
      </c>
      <c r="K4" s="180"/>
    </row>
    <row r="5" spans="1:11" ht="25" customHeight="1" thickBot="1">
      <c r="A5" s="248"/>
      <c r="B5" s="239"/>
      <c r="C5" s="4" t="s">
        <v>62</v>
      </c>
      <c r="D5" s="239"/>
      <c r="E5" s="4" t="s">
        <v>62</v>
      </c>
      <c r="F5" s="239"/>
      <c r="G5" s="4" t="s">
        <v>62</v>
      </c>
      <c r="H5" s="241"/>
      <c r="I5" s="4" t="s">
        <v>62</v>
      </c>
      <c r="J5" s="241"/>
      <c r="K5" s="4" t="s">
        <v>62</v>
      </c>
    </row>
    <row r="6" spans="1:11" ht="24" customHeight="1">
      <c r="A6" s="8" t="s">
        <v>63</v>
      </c>
      <c r="B6" s="6">
        <v>413101.36</v>
      </c>
      <c r="C6" s="7">
        <v>100</v>
      </c>
      <c r="D6" s="6">
        <v>418315.23</v>
      </c>
      <c r="E6" s="7">
        <v>100</v>
      </c>
      <c r="F6" s="6">
        <v>497464.58</v>
      </c>
      <c r="G6" s="7">
        <v>100</v>
      </c>
      <c r="H6" s="6">
        <v>614706.62</v>
      </c>
      <c r="I6" s="7">
        <v>100</v>
      </c>
      <c r="J6" s="6">
        <v>620300.19999999995</v>
      </c>
      <c r="K6" s="7">
        <v>100</v>
      </c>
    </row>
    <row r="7" spans="1:11" ht="24" customHeight="1" thickBot="1">
      <c r="A7" s="14" t="s">
        <v>297</v>
      </c>
      <c r="B7" s="15">
        <v>168833.23</v>
      </c>
      <c r="C7" s="16">
        <v>40.869686000000002</v>
      </c>
      <c r="D7" s="15">
        <v>222105.57</v>
      </c>
      <c r="E7" s="16">
        <v>53.095263000000003</v>
      </c>
      <c r="F7" s="15">
        <v>200801.82</v>
      </c>
      <c r="G7" s="16">
        <v>40.365048999999999</v>
      </c>
      <c r="H7" s="15">
        <v>233181.73</v>
      </c>
      <c r="I7" s="16">
        <v>37.933824000000001</v>
      </c>
      <c r="J7" s="15">
        <v>262068.33</v>
      </c>
      <c r="K7" s="16">
        <v>42.248629000000001</v>
      </c>
    </row>
    <row r="8" spans="1:11" ht="8.25" customHeight="1">
      <c r="A8" s="32"/>
      <c r="C8" s="18"/>
      <c r="D8" s="19"/>
      <c r="E8" s="18"/>
      <c r="F8" s="19"/>
      <c r="G8" s="18"/>
      <c r="H8" s="19"/>
      <c r="I8" s="18"/>
      <c r="J8" s="19"/>
      <c r="K8" s="18"/>
    </row>
    <row r="9" spans="1:11" ht="11.9" customHeight="1">
      <c r="A9" s="246" t="s">
        <v>246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</row>
    <row r="10" spans="1:11">
      <c r="A10" s="32" t="s">
        <v>312</v>
      </c>
    </row>
    <row r="11" spans="1:11">
      <c r="A11" s="32"/>
    </row>
    <row r="12" spans="1:11">
      <c r="A12" s="32"/>
    </row>
    <row r="13" spans="1:11">
      <c r="A13" s="21"/>
    </row>
  </sheetData>
  <mergeCells count="7">
    <mergeCell ref="A9:K9"/>
    <mergeCell ref="A4:A5"/>
    <mergeCell ref="H4:H5"/>
    <mergeCell ref="J4:J5"/>
    <mergeCell ref="B4:B5"/>
    <mergeCell ref="D4:D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9B76-2CB4-43F9-AB85-968046DA76E2}">
  <sheetPr>
    <tabColor rgb="FFFFC000"/>
    <pageSetUpPr fitToPage="1"/>
  </sheetPr>
  <dimension ref="A1:K16"/>
  <sheetViews>
    <sheetView view="pageBreakPreview" zoomScaleNormal="100" zoomScaleSheetLayoutView="100" workbookViewId="0"/>
  </sheetViews>
  <sheetFormatPr defaultRowHeight="13"/>
  <cols>
    <col min="1" max="1" width="26.453125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271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9"/>
      <c r="B2" s="190"/>
      <c r="C2" s="190"/>
      <c r="D2" s="189"/>
      <c r="E2" s="190"/>
      <c r="F2" s="190"/>
      <c r="G2" s="190"/>
      <c r="H2" s="190"/>
      <c r="I2" s="190"/>
      <c r="J2" s="190"/>
      <c r="K2" s="3" t="s">
        <v>3</v>
      </c>
    </row>
    <row r="3" spans="1:11" ht="24" customHeight="1" thickBot="1">
      <c r="A3" s="251" t="s">
        <v>260</v>
      </c>
      <c r="B3" s="249">
        <v>2014</v>
      </c>
      <c r="C3" s="214"/>
      <c r="D3" s="249">
        <v>2015</v>
      </c>
      <c r="E3" s="214"/>
      <c r="F3" s="249">
        <v>2016</v>
      </c>
      <c r="G3" s="214"/>
      <c r="H3" s="249">
        <v>2017</v>
      </c>
      <c r="I3" s="214"/>
      <c r="J3" s="249">
        <v>2018</v>
      </c>
      <c r="K3" s="214"/>
    </row>
    <row r="4" spans="1:11" ht="24" customHeight="1" thickBot="1">
      <c r="A4" s="252"/>
      <c r="B4" s="250"/>
      <c r="C4" s="200" t="s">
        <v>258</v>
      </c>
      <c r="D4" s="250"/>
      <c r="E4" s="200" t="s">
        <v>258</v>
      </c>
      <c r="F4" s="250"/>
      <c r="G4" s="200" t="s">
        <v>258</v>
      </c>
      <c r="H4" s="250"/>
      <c r="I4" s="200" t="s">
        <v>258</v>
      </c>
      <c r="J4" s="250"/>
      <c r="K4" s="200" t="s">
        <v>258</v>
      </c>
    </row>
    <row r="5" spans="1:11" ht="24" customHeight="1">
      <c r="A5" s="196" t="s">
        <v>261</v>
      </c>
      <c r="B5" s="197">
        <v>3543774.57</v>
      </c>
      <c r="C5" s="204">
        <v>8.0565130000000007</v>
      </c>
      <c r="D5" s="203">
        <v>3778689</v>
      </c>
      <c r="E5" s="204">
        <v>6.6289326637388273</v>
      </c>
      <c r="F5" s="203">
        <v>4062348</v>
      </c>
      <c r="G5" s="204">
        <v>7.5068099015293406</v>
      </c>
      <c r="H5" s="203">
        <v>4464844</v>
      </c>
      <c r="I5" s="204">
        <v>9.9079645564584808</v>
      </c>
      <c r="J5" s="203">
        <v>4631308</v>
      </c>
      <c r="K5" s="204">
        <f>(J5-H5)/H5*100</f>
        <v>3.7283273502948813</v>
      </c>
    </row>
    <row r="6" spans="1:11" ht="24" customHeight="1">
      <c r="A6" s="192" t="s">
        <v>263</v>
      </c>
      <c r="B6" s="198">
        <v>1231459.82</v>
      </c>
      <c r="C6" s="205">
        <v>3.3738760000000001</v>
      </c>
      <c r="D6" s="191">
        <v>1318841</v>
      </c>
      <c r="E6" s="205">
        <v>7.0957394289973603</v>
      </c>
      <c r="F6" s="191">
        <v>1405858</v>
      </c>
      <c r="G6" s="205">
        <v>6.5979902050360888</v>
      </c>
      <c r="H6" s="191">
        <v>1533205</v>
      </c>
      <c r="I6" s="205">
        <v>9.0583117213829549</v>
      </c>
      <c r="J6" s="191">
        <v>1636012</v>
      </c>
      <c r="K6" s="205">
        <f t="shared" ref="K6:K12" si="0">(J6-H6)/H6*100</f>
        <v>6.7053655577695093</v>
      </c>
    </row>
    <row r="7" spans="1:11" ht="24" customHeight="1" thickBot="1">
      <c r="A7" s="193" t="s">
        <v>306</v>
      </c>
      <c r="B7" s="199">
        <v>2312314.75</v>
      </c>
      <c r="C7" s="205">
        <v>10.727731</v>
      </c>
      <c r="D7" s="194">
        <v>2459848</v>
      </c>
      <c r="E7" s="205">
        <v>6.3803273321679068</v>
      </c>
      <c r="F7" s="194">
        <v>2656489</v>
      </c>
      <c r="G7" s="205">
        <v>7.9940305254633621</v>
      </c>
      <c r="H7" s="194">
        <v>2931639</v>
      </c>
      <c r="I7" s="205">
        <v>10.357656289937584</v>
      </c>
      <c r="J7" s="194">
        <v>2995296</v>
      </c>
      <c r="K7" s="205">
        <f t="shared" si="0"/>
        <v>2.1713792182461757</v>
      </c>
    </row>
    <row r="8" spans="1:11" ht="24" customHeight="1">
      <c r="A8" s="195" t="s">
        <v>265</v>
      </c>
      <c r="B8" s="198"/>
      <c r="C8" s="201"/>
      <c r="D8" s="191"/>
      <c r="E8" s="201"/>
      <c r="F8" s="191"/>
      <c r="G8" s="201"/>
      <c r="H8" s="191"/>
      <c r="I8" s="201"/>
      <c r="J8" s="191"/>
      <c r="K8" s="201"/>
    </row>
    <row r="9" spans="1:11" ht="24" customHeight="1">
      <c r="A9" s="192" t="s">
        <v>267</v>
      </c>
      <c r="B9" s="198">
        <v>1704548.99</v>
      </c>
      <c r="C9" s="205">
        <v>8.4053509999999996</v>
      </c>
      <c r="D9" s="191">
        <v>1822032</v>
      </c>
      <c r="E9" s="205">
        <v>6.8923222910712596</v>
      </c>
      <c r="F9" s="191">
        <v>1960078</v>
      </c>
      <c r="G9" s="205">
        <v>7.5764860331761472</v>
      </c>
      <c r="H9" s="191">
        <v>2166053</v>
      </c>
      <c r="I9" s="205">
        <v>10.5085103756075</v>
      </c>
      <c r="J9" s="191">
        <v>2340903</v>
      </c>
      <c r="K9" s="205">
        <f t="shared" si="0"/>
        <v>8.0722863198638262</v>
      </c>
    </row>
    <row r="10" spans="1:11" ht="24" customHeight="1">
      <c r="A10" s="192" t="s">
        <v>268</v>
      </c>
      <c r="B10" s="198">
        <v>543173.93000000005</v>
      </c>
      <c r="C10" s="205">
        <v>12.133214000000001</v>
      </c>
      <c r="D10" s="191">
        <v>557518</v>
      </c>
      <c r="E10" s="205">
        <v>2.6407876386850795</v>
      </c>
      <c r="F10" s="191">
        <v>590679</v>
      </c>
      <c r="G10" s="205">
        <v>5.9479693929164617</v>
      </c>
      <c r="H10" s="191">
        <v>643230</v>
      </c>
      <c r="I10" s="205">
        <v>8.8967103960018896</v>
      </c>
      <c r="J10" s="191">
        <v>695895</v>
      </c>
      <c r="K10" s="205">
        <f t="shared" si="0"/>
        <v>8.1875845343034364</v>
      </c>
    </row>
    <row r="11" spans="1:11" ht="24" customHeight="1">
      <c r="A11" s="192" t="s">
        <v>269</v>
      </c>
      <c r="B11" s="198">
        <v>1179336.6599999999</v>
      </c>
      <c r="C11" s="205">
        <v>3.9857079999999998</v>
      </c>
      <c r="D11" s="191">
        <v>1307281</v>
      </c>
      <c r="E11" s="205">
        <v>10.848839380605712</v>
      </c>
      <c r="F11" s="191">
        <v>1380416</v>
      </c>
      <c r="G11" s="205">
        <v>5.5944360852792929</v>
      </c>
      <c r="H11" s="191">
        <v>1496804</v>
      </c>
      <c r="I11" s="205">
        <v>8.431371412675599</v>
      </c>
      <c r="J11" s="191">
        <v>1464067</v>
      </c>
      <c r="K11" s="205">
        <f t="shared" si="0"/>
        <v>-2.1871267046320026</v>
      </c>
    </row>
    <row r="12" spans="1:11" ht="24" customHeight="1" thickBot="1">
      <c r="A12" s="193" t="s">
        <v>270</v>
      </c>
      <c r="B12" s="199">
        <v>116714.99</v>
      </c>
      <c r="C12" s="205">
        <v>31.675810999999999</v>
      </c>
      <c r="D12" s="194">
        <v>91858</v>
      </c>
      <c r="E12" s="205">
        <v>-21.297170140699155</v>
      </c>
      <c r="F12" s="194">
        <v>131174</v>
      </c>
      <c r="G12" s="205">
        <v>42.800844782163779</v>
      </c>
      <c r="H12" s="194">
        <v>158758</v>
      </c>
      <c r="I12" s="205">
        <v>21.02855748852669</v>
      </c>
      <c r="J12" s="194">
        <v>130443</v>
      </c>
      <c r="K12" s="205">
        <f t="shared" si="0"/>
        <v>-17.835321684576524</v>
      </c>
    </row>
    <row r="13" spans="1:11" ht="6.75" customHeight="1">
      <c r="A13" s="212"/>
      <c r="B13" s="212"/>
      <c r="C13" s="212"/>
      <c r="D13" s="212"/>
      <c r="E13" s="212"/>
      <c r="F13" s="212"/>
      <c r="G13" s="212"/>
      <c r="H13" s="212"/>
      <c r="I13" s="212"/>
      <c r="J13" s="212"/>
      <c r="K13" s="212"/>
    </row>
    <row r="14" spans="1:11">
      <c r="A14" s="213" t="s">
        <v>301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</row>
    <row r="15" spans="1:11">
      <c r="A15" s="213"/>
      <c r="B15" s="206"/>
      <c r="C15" s="206"/>
      <c r="D15" s="206"/>
      <c r="E15" s="206"/>
      <c r="F15" s="206"/>
      <c r="G15" s="206"/>
      <c r="H15" s="206"/>
      <c r="I15" s="206"/>
      <c r="J15" s="206"/>
      <c r="K15" s="206"/>
    </row>
    <row r="16" spans="1:11">
      <c r="A16" s="213"/>
    </row>
  </sheetData>
  <mergeCells count="6">
    <mergeCell ref="J3:J4"/>
    <mergeCell ref="A3:A4"/>
    <mergeCell ref="B3:B4"/>
    <mergeCell ref="D3:D4"/>
    <mergeCell ref="F3:F4"/>
    <mergeCell ref="H3:H4"/>
  </mergeCells>
  <phoneticPr fontId="2"/>
  <pageMargins left="0.74803149606299213" right="0.74803149606299213" top="0.98425196850393704" bottom="0.9842519685039370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FF40-C99E-43CC-BA00-A505C6C4A9D0}">
  <sheetPr codeName="Sheet1">
    <tabColor rgb="FFFFC000"/>
    <pageSetUpPr fitToPage="1"/>
  </sheetPr>
  <dimension ref="A1:L25"/>
  <sheetViews>
    <sheetView view="pageBreakPreview" zoomScaleNormal="100" zoomScaleSheetLayoutView="100" workbookViewId="0">
      <selection activeCell="L11" sqref="L11"/>
    </sheetView>
  </sheetViews>
  <sheetFormatPr defaultColWidth="9" defaultRowHeight="11"/>
  <cols>
    <col min="1" max="1" width="34.90625" style="2" customWidth="1"/>
    <col min="2" max="2" width="14.36328125" style="2" customWidth="1"/>
    <col min="3" max="3" width="9.26953125" style="2" customWidth="1"/>
    <col min="4" max="4" width="14.36328125" style="2" customWidth="1"/>
    <col min="5" max="5" width="9.26953125" style="2" customWidth="1"/>
    <col min="6" max="6" width="14.36328125" style="2" customWidth="1"/>
    <col min="7" max="7" width="9.26953125" style="2" customWidth="1"/>
    <col min="8" max="8" width="14.36328125" style="2" customWidth="1"/>
    <col min="9" max="9" width="9.26953125" style="2" customWidth="1"/>
    <col min="10" max="10" width="14.363281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272</v>
      </c>
    </row>
    <row r="3" spans="1:12" ht="11.5" thickBot="1">
      <c r="K3" s="3" t="s">
        <v>3</v>
      </c>
    </row>
    <row r="4" spans="1:12" ht="12" customHeight="1" thickBot="1">
      <c r="A4" s="236" t="s">
        <v>259</v>
      </c>
      <c r="B4" s="238">
        <v>2014</v>
      </c>
      <c r="C4" s="180"/>
      <c r="D4" s="238">
        <v>2015</v>
      </c>
      <c r="E4" s="180"/>
      <c r="F4" s="238">
        <v>2016</v>
      </c>
      <c r="G4" s="180"/>
      <c r="H4" s="238">
        <v>2017</v>
      </c>
      <c r="I4" s="180"/>
      <c r="J4" s="238">
        <v>2018</v>
      </c>
      <c r="K4" s="180"/>
    </row>
    <row r="5" spans="1:12" ht="25" customHeight="1" thickBot="1">
      <c r="A5" s="237"/>
      <c r="B5" s="239"/>
      <c r="C5" s="4" t="s">
        <v>62</v>
      </c>
      <c r="D5" s="239"/>
      <c r="E5" s="4" t="s">
        <v>62</v>
      </c>
      <c r="F5" s="239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64</v>
      </c>
      <c r="B6" s="6">
        <v>2847623.54</v>
      </c>
      <c r="C6" s="7">
        <v>100</v>
      </c>
      <c r="D6" s="6">
        <v>2936828.5</v>
      </c>
      <c r="E6" s="7">
        <v>100</v>
      </c>
      <c r="F6" s="6">
        <v>2987973.81</v>
      </c>
      <c r="G6" s="7">
        <v>100</v>
      </c>
      <c r="H6" s="6">
        <v>3117130.34</v>
      </c>
      <c r="I6" s="7">
        <v>100</v>
      </c>
      <c r="J6" s="6">
        <v>3144821.87</v>
      </c>
      <c r="K6" s="7">
        <v>100</v>
      </c>
      <c r="L6" s="229"/>
    </row>
    <row r="7" spans="1:12" ht="24" customHeight="1">
      <c r="A7" s="8" t="s">
        <v>65</v>
      </c>
      <c r="B7" s="6">
        <v>1958964.61</v>
      </c>
      <c r="C7" s="7">
        <v>68.8</v>
      </c>
      <c r="D7" s="6">
        <v>1982227.85</v>
      </c>
      <c r="E7" s="7">
        <v>67.5</v>
      </c>
      <c r="F7" s="6">
        <v>2018791.18</v>
      </c>
      <c r="G7" s="7">
        <v>67.5</v>
      </c>
      <c r="H7" s="6">
        <v>2064805.26</v>
      </c>
      <c r="I7" s="7">
        <v>66.2</v>
      </c>
      <c r="J7" s="6">
        <v>2086088.35</v>
      </c>
      <c r="K7" s="7">
        <v>66.334070298232803</v>
      </c>
      <c r="L7" s="229"/>
    </row>
    <row r="8" spans="1:12" ht="24" customHeight="1">
      <c r="A8" s="34" t="s">
        <v>66</v>
      </c>
      <c r="B8" s="6">
        <v>67492.160000000003</v>
      </c>
      <c r="C8" s="7">
        <v>2.4</v>
      </c>
      <c r="D8" s="6">
        <v>66952.009999999995</v>
      </c>
      <c r="E8" s="7">
        <v>2.2999999999999998</v>
      </c>
      <c r="F8" s="6">
        <v>62463.6</v>
      </c>
      <c r="G8" s="7">
        <v>2.1</v>
      </c>
      <c r="H8" s="6">
        <v>61994.09</v>
      </c>
      <c r="I8" s="7">
        <v>2</v>
      </c>
      <c r="J8" s="6">
        <v>64966.37</v>
      </c>
      <c r="K8" s="7">
        <v>2.0658203448578698</v>
      </c>
      <c r="L8" s="229"/>
    </row>
    <row r="9" spans="1:12" ht="33" customHeight="1">
      <c r="A9" s="34" t="s">
        <v>67</v>
      </c>
      <c r="B9" s="35">
        <v>260951.88</v>
      </c>
      <c r="C9" s="36">
        <v>9.1</v>
      </c>
      <c r="D9" s="35">
        <v>283852.40999999997</v>
      </c>
      <c r="E9" s="36">
        <v>9.6999999999999993</v>
      </c>
      <c r="F9" s="35">
        <v>271768.01</v>
      </c>
      <c r="G9" s="36">
        <v>9.1</v>
      </c>
      <c r="H9" s="35">
        <v>276194.71999999997</v>
      </c>
      <c r="I9" s="36">
        <v>8.9</v>
      </c>
      <c r="J9" s="35">
        <v>273142.98</v>
      </c>
      <c r="K9" s="36">
        <v>8.6854833529887596</v>
      </c>
      <c r="L9" s="229"/>
    </row>
    <row r="10" spans="1:12" ht="24" customHeight="1">
      <c r="A10" s="8" t="s">
        <v>68</v>
      </c>
      <c r="B10" s="6">
        <v>94071.86</v>
      </c>
      <c r="C10" s="7">
        <v>3.3</v>
      </c>
      <c r="D10" s="6">
        <v>105810.69</v>
      </c>
      <c r="E10" s="7">
        <v>3.6</v>
      </c>
      <c r="F10" s="6">
        <v>110131.29</v>
      </c>
      <c r="G10" s="7">
        <v>3.7</v>
      </c>
      <c r="H10" s="6">
        <v>101690.04</v>
      </c>
      <c r="I10" s="7">
        <v>3.3</v>
      </c>
      <c r="J10" s="6">
        <v>108295.38</v>
      </c>
      <c r="K10" s="7">
        <v>3.4436093513938801</v>
      </c>
      <c r="L10" s="229"/>
    </row>
    <row r="11" spans="1:12" ht="24" customHeight="1" thickBot="1">
      <c r="A11" s="8" t="s">
        <v>69</v>
      </c>
      <c r="B11" s="6">
        <v>466143.03</v>
      </c>
      <c r="C11" s="7">
        <v>16.399999999999999</v>
      </c>
      <c r="D11" s="6">
        <v>497985.54</v>
      </c>
      <c r="E11" s="7">
        <v>16.899999999999999</v>
      </c>
      <c r="F11" s="6">
        <v>524819.73</v>
      </c>
      <c r="G11" s="7">
        <v>17.600000000000001</v>
      </c>
      <c r="H11" s="6">
        <v>612446.23</v>
      </c>
      <c r="I11" s="7">
        <v>19.600000000000001</v>
      </c>
      <c r="J11" s="6">
        <v>612328.79</v>
      </c>
      <c r="K11" s="7">
        <v>19.4710166525266</v>
      </c>
      <c r="L11" s="229"/>
    </row>
    <row r="12" spans="1:12" ht="24" customHeight="1">
      <c r="A12" s="5" t="s">
        <v>70</v>
      </c>
      <c r="B12" s="38">
        <v>19.668047999999999</v>
      </c>
      <c r="C12" s="37"/>
      <c r="D12" s="38">
        <v>20.515253000000001</v>
      </c>
      <c r="E12" s="37"/>
      <c r="F12" s="38">
        <v>20.525234000000001</v>
      </c>
      <c r="G12" s="37"/>
      <c r="H12" s="38">
        <v>20.186800999999999</v>
      </c>
      <c r="I12" s="37"/>
      <c r="J12" s="38">
        <v>20.484617</v>
      </c>
      <c r="K12" s="37"/>
      <c r="L12" s="229"/>
    </row>
    <row r="13" spans="1:12" ht="24" customHeight="1" thickBot="1">
      <c r="A13" s="14" t="s">
        <v>71</v>
      </c>
      <c r="B13" s="39">
        <v>705.23015899999996</v>
      </c>
      <c r="C13" s="173"/>
      <c r="D13" s="39">
        <v>724.60732800000005</v>
      </c>
      <c r="E13" s="173"/>
      <c r="F13" s="39">
        <v>726.73979599999996</v>
      </c>
      <c r="G13" s="173"/>
      <c r="H13" s="39">
        <v>738.57546300000001</v>
      </c>
      <c r="I13" s="173"/>
      <c r="J13" s="39">
        <v>730.14371900000003</v>
      </c>
      <c r="K13" s="173"/>
      <c r="L13" s="230"/>
    </row>
    <row r="14" spans="1:12" ht="11.9" customHeight="1">
      <c r="A14" s="32"/>
      <c r="B14" s="17"/>
      <c r="C14" s="18"/>
      <c r="D14" s="19"/>
      <c r="E14" s="18"/>
      <c r="F14" s="19"/>
      <c r="G14" s="18"/>
      <c r="H14" s="19"/>
      <c r="I14" s="18"/>
      <c r="J14" s="19"/>
      <c r="K14" s="18"/>
    </row>
    <row r="15" spans="1:12" s="21" customFormat="1" ht="11.9" customHeight="1">
      <c r="A15" s="32" t="s">
        <v>72</v>
      </c>
      <c r="B15" s="17"/>
      <c r="C15" s="18"/>
      <c r="D15" s="19"/>
      <c r="E15" s="18"/>
      <c r="F15" s="19"/>
      <c r="G15" s="18"/>
      <c r="H15" s="19"/>
      <c r="I15" s="18"/>
      <c r="J15" s="19"/>
      <c r="K15" s="18"/>
    </row>
    <row r="16" spans="1:12" s="21" customFormat="1" ht="11.9" customHeight="1">
      <c r="A16" s="32" t="s">
        <v>73</v>
      </c>
      <c r="B16" s="17"/>
      <c r="C16" s="18"/>
      <c r="D16" s="19"/>
      <c r="E16" s="18"/>
      <c r="F16" s="19"/>
      <c r="G16" s="18"/>
      <c r="H16" s="19"/>
      <c r="I16" s="18"/>
      <c r="J16" s="19"/>
      <c r="K16" s="18"/>
    </row>
    <row r="17" spans="1:11" s="21" customFormat="1" ht="11.9" customHeight="1">
      <c r="A17" s="40" t="s">
        <v>247</v>
      </c>
      <c r="B17" s="19"/>
      <c r="C17" s="41"/>
      <c r="D17" s="19"/>
      <c r="E17" s="18"/>
      <c r="F17" s="19"/>
      <c r="G17" s="18"/>
      <c r="H17" s="19"/>
      <c r="I17" s="18"/>
      <c r="J17" s="19"/>
      <c r="K17" s="18"/>
    </row>
    <row r="18" spans="1:11" s="21" customFormat="1" ht="11.9" customHeight="1">
      <c r="A18" s="32" t="s">
        <v>248</v>
      </c>
      <c r="B18" s="17"/>
      <c r="C18" s="18"/>
      <c r="D18" s="19"/>
      <c r="E18" s="18"/>
      <c r="F18" s="19"/>
      <c r="G18" s="18"/>
      <c r="H18" s="19"/>
      <c r="I18" s="18"/>
      <c r="J18" s="19"/>
      <c r="K18" s="18"/>
    </row>
    <row r="19" spans="1:11" s="21" customFormat="1" ht="11.9" customHeight="1">
      <c r="A19" s="253" t="s">
        <v>249</v>
      </c>
      <c r="B19" s="42" t="s">
        <v>74</v>
      </c>
      <c r="C19" s="254" t="s">
        <v>75</v>
      </c>
      <c r="D19" s="19"/>
      <c r="E19" s="18"/>
      <c r="F19" s="19"/>
      <c r="G19" s="18"/>
      <c r="H19" s="19"/>
      <c r="I19" s="18"/>
      <c r="J19" s="19"/>
      <c r="K19" s="18"/>
    </row>
    <row r="20" spans="1:11" s="21" customFormat="1" ht="11.9" customHeight="1">
      <c r="A20" s="253"/>
      <c r="B20" s="19" t="s">
        <v>76</v>
      </c>
      <c r="C20" s="254"/>
      <c r="D20" s="19"/>
      <c r="E20" s="18"/>
      <c r="F20" s="19"/>
      <c r="G20" s="18"/>
      <c r="H20" s="19"/>
      <c r="I20" s="18"/>
      <c r="J20" s="19"/>
      <c r="K20" s="18"/>
    </row>
    <row r="21" spans="1:11" s="21" customFormat="1" ht="11.9" customHeight="1">
      <c r="A21" s="253" t="s">
        <v>250</v>
      </c>
      <c r="B21" s="255" t="s">
        <v>77</v>
      </c>
      <c r="C21" s="255"/>
      <c r="D21" s="19"/>
      <c r="E21" s="18"/>
      <c r="F21" s="19"/>
      <c r="G21" s="18"/>
      <c r="H21" s="19"/>
      <c r="I21" s="18"/>
      <c r="J21" s="19"/>
      <c r="K21" s="18"/>
    </row>
    <row r="22" spans="1:11" s="21" customFormat="1" ht="11.9" customHeight="1">
      <c r="A22" s="253"/>
      <c r="B22" s="256" t="s">
        <v>78</v>
      </c>
      <c r="C22" s="256"/>
      <c r="D22" s="19"/>
      <c r="E22" s="18"/>
      <c r="F22" s="19"/>
      <c r="G22" s="18"/>
      <c r="H22" s="19"/>
      <c r="I22" s="18"/>
      <c r="J22" s="19"/>
      <c r="K22" s="18"/>
    </row>
    <row r="23" spans="1:11" s="21" customFormat="1" ht="11.9" customHeight="1">
      <c r="A23" s="32" t="s">
        <v>251</v>
      </c>
      <c r="B23" s="19"/>
      <c r="C23" s="19"/>
      <c r="D23" s="19"/>
      <c r="E23" s="18"/>
      <c r="F23" s="19"/>
      <c r="G23" s="18"/>
      <c r="H23" s="19"/>
      <c r="I23" s="18"/>
      <c r="J23" s="19"/>
      <c r="K23" s="18"/>
    </row>
    <row r="24" spans="1:11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</row>
    <row r="25" spans="1:11">
      <c r="A25" s="21"/>
      <c r="B25" s="19"/>
      <c r="C25" s="19"/>
      <c r="D25" s="19"/>
      <c r="E25" s="18"/>
      <c r="F25" s="19"/>
    </row>
  </sheetData>
  <mergeCells count="12">
    <mergeCell ref="A24:K24"/>
    <mergeCell ref="H4:H5"/>
    <mergeCell ref="J4:J5"/>
    <mergeCell ref="A21:A22"/>
    <mergeCell ref="B21:C21"/>
    <mergeCell ref="B22:C22"/>
    <mergeCell ref="A19:A20"/>
    <mergeCell ref="C19:C20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6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7A4C-0DA3-460A-BA1A-9BD033C91DB5}">
  <sheetPr codeName="Sheet7">
    <tabColor rgb="FFFFC000"/>
    <pageSetUpPr fitToPage="1"/>
  </sheetPr>
  <dimension ref="A1:K47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273</v>
      </c>
    </row>
    <row r="3" spans="1:11" ht="11.5" thickBot="1">
      <c r="K3" s="3" t="s">
        <v>79</v>
      </c>
    </row>
    <row r="4" spans="1:11" ht="12" customHeight="1" thickBot="1">
      <c r="A4" s="236" t="s">
        <v>80</v>
      </c>
      <c r="B4" s="238">
        <v>2014</v>
      </c>
      <c r="C4" s="180"/>
      <c r="D4" s="238">
        <v>2015</v>
      </c>
      <c r="E4" s="180"/>
      <c r="F4" s="238">
        <v>2016</v>
      </c>
      <c r="G4" s="180"/>
      <c r="H4" s="238">
        <v>2017</v>
      </c>
      <c r="I4" s="180"/>
      <c r="J4" s="238">
        <v>2018</v>
      </c>
      <c r="K4" s="180"/>
    </row>
    <row r="5" spans="1:11" ht="25" customHeight="1" thickBot="1">
      <c r="A5" s="237"/>
      <c r="B5" s="239"/>
      <c r="C5" s="4" t="s">
        <v>7</v>
      </c>
      <c r="D5" s="239"/>
      <c r="E5" s="4" t="s">
        <v>7</v>
      </c>
      <c r="F5" s="239"/>
      <c r="G5" s="4" t="s">
        <v>7</v>
      </c>
      <c r="H5" s="241"/>
      <c r="I5" s="4" t="s">
        <v>7</v>
      </c>
      <c r="J5" s="241"/>
      <c r="K5" s="4" t="s">
        <v>81</v>
      </c>
    </row>
    <row r="6" spans="1:11" ht="12" customHeight="1">
      <c r="A6" s="262" t="s">
        <v>82</v>
      </c>
      <c r="B6" s="6">
        <v>398228.01</v>
      </c>
      <c r="C6" s="7">
        <v>7.83614402472723</v>
      </c>
      <c r="D6" s="6">
        <v>426365.39</v>
      </c>
      <c r="E6" s="7">
        <v>7.0656456335153299</v>
      </c>
      <c r="F6" s="6">
        <v>429380.29</v>
      </c>
      <c r="G6" s="7">
        <v>0.70711649461040904</v>
      </c>
      <c r="H6" s="6">
        <v>454475.45</v>
      </c>
      <c r="I6" s="7">
        <v>5.84450674249626</v>
      </c>
      <c r="J6" s="6">
        <v>491276.54</v>
      </c>
      <c r="K6" s="7">
        <v>8.0974868939565301</v>
      </c>
    </row>
    <row r="7" spans="1:11" ht="12" customHeight="1">
      <c r="A7" s="261"/>
      <c r="B7" s="183">
        <v>394759.89</v>
      </c>
      <c r="C7" s="232">
        <v>7.6598959999999998</v>
      </c>
      <c r="D7" s="187">
        <v>424474.15</v>
      </c>
      <c r="E7" s="232">
        <v>7.5271730000000003</v>
      </c>
      <c r="F7" s="182">
        <v>426887.99</v>
      </c>
      <c r="G7" s="232">
        <v>0.568666</v>
      </c>
      <c r="H7" s="182">
        <v>453528.7</v>
      </c>
      <c r="I7" s="232">
        <v>6.2406790000000001</v>
      </c>
      <c r="J7" s="182">
        <v>487356.05</v>
      </c>
      <c r="K7" s="233">
        <v>7.4587009999999996</v>
      </c>
    </row>
    <row r="8" spans="1:11" ht="12" customHeight="1">
      <c r="A8" s="44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60" t="s">
        <v>83</v>
      </c>
      <c r="B9" s="6">
        <v>120219.02</v>
      </c>
      <c r="C9" s="7">
        <v>6.8424043913990298</v>
      </c>
      <c r="D9" s="6">
        <v>133336.03</v>
      </c>
      <c r="E9" s="7">
        <v>10.910927405663401</v>
      </c>
      <c r="F9" s="6">
        <v>144730.67000000001</v>
      </c>
      <c r="G9" s="7">
        <v>8.5458071610501598</v>
      </c>
      <c r="H9" s="6">
        <v>151139.59</v>
      </c>
      <c r="I9" s="7">
        <v>4.42816992417709</v>
      </c>
      <c r="J9" s="6">
        <v>160947.37</v>
      </c>
      <c r="K9" s="7">
        <v>6.4892196677256999</v>
      </c>
    </row>
    <row r="10" spans="1:11" ht="12" customHeight="1">
      <c r="A10" s="260"/>
      <c r="B10" s="183">
        <v>119129.43</v>
      </c>
      <c r="C10" s="232">
        <v>6.772786</v>
      </c>
      <c r="D10" s="183">
        <v>133511.22</v>
      </c>
      <c r="E10" s="232">
        <v>12.072407</v>
      </c>
      <c r="F10" s="183">
        <v>144273.71</v>
      </c>
      <c r="G10" s="232">
        <v>8.0611130000000006</v>
      </c>
      <c r="H10" s="183">
        <v>150597.29</v>
      </c>
      <c r="I10" s="232">
        <v>4.3830439999999999</v>
      </c>
      <c r="J10" s="183">
        <v>159978.98000000001</v>
      </c>
      <c r="K10" s="233">
        <v>6.229654</v>
      </c>
    </row>
    <row r="11" spans="1:11" ht="24" customHeight="1">
      <c r="A11" s="8" t="s">
        <v>84</v>
      </c>
      <c r="B11" s="6">
        <v>12835.01</v>
      </c>
      <c r="C11" s="7">
        <v>-14.9035098711188</v>
      </c>
      <c r="D11" s="6">
        <v>12232.73</v>
      </c>
      <c r="E11" s="7">
        <v>-4.6924778399081797</v>
      </c>
      <c r="F11" s="6">
        <v>14435.03</v>
      </c>
      <c r="G11" s="7">
        <v>18.0033402192315</v>
      </c>
      <c r="H11" s="6">
        <v>16511.86</v>
      </c>
      <c r="I11" s="7">
        <v>14.3874311310748</v>
      </c>
      <c r="J11" s="6">
        <v>16570.099999999999</v>
      </c>
      <c r="K11" s="7">
        <v>0.352716168862865</v>
      </c>
    </row>
    <row r="12" spans="1:11" ht="24" customHeight="1">
      <c r="A12" s="8" t="s">
        <v>85</v>
      </c>
      <c r="B12" s="6">
        <v>14178.73</v>
      </c>
      <c r="C12" s="7">
        <v>-3.57012909022033</v>
      </c>
      <c r="D12" s="6">
        <v>15389.2</v>
      </c>
      <c r="E12" s="7">
        <v>8.5372244199586191</v>
      </c>
      <c r="F12" s="6">
        <v>18038.650000000001</v>
      </c>
      <c r="G12" s="7">
        <v>17.2162945442258</v>
      </c>
      <c r="H12" s="6">
        <v>17185.8</v>
      </c>
      <c r="I12" s="7">
        <v>-4.7279036956756704</v>
      </c>
      <c r="J12" s="6">
        <v>19298.46</v>
      </c>
      <c r="K12" s="7">
        <v>12.293055894983</v>
      </c>
    </row>
    <row r="13" spans="1:11" ht="24" customHeight="1">
      <c r="A13" s="8" t="s">
        <v>86</v>
      </c>
      <c r="B13" s="6">
        <v>1921.61</v>
      </c>
      <c r="C13" s="7">
        <v>13.331210153517601</v>
      </c>
      <c r="D13" s="6">
        <v>1633.05</v>
      </c>
      <c r="E13" s="7">
        <v>-15.0165746431377</v>
      </c>
      <c r="F13" s="6">
        <v>1502.94</v>
      </c>
      <c r="G13" s="7">
        <v>-7.9673004500780698</v>
      </c>
      <c r="H13" s="6">
        <v>1320.09</v>
      </c>
      <c r="I13" s="7">
        <v>-12.166154337498501</v>
      </c>
      <c r="J13" s="6">
        <v>2478.69</v>
      </c>
      <c r="K13" s="7">
        <v>87.766743176601494</v>
      </c>
    </row>
    <row r="14" spans="1:11" ht="24" customHeight="1">
      <c r="A14" s="8" t="s">
        <v>87</v>
      </c>
      <c r="B14" s="6">
        <v>7419.12</v>
      </c>
      <c r="C14" s="7">
        <v>23.244881076178299</v>
      </c>
      <c r="D14" s="6">
        <v>6566.28</v>
      </c>
      <c r="E14" s="7">
        <v>-11.4951638469252</v>
      </c>
      <c r="F14" s="6">
        <v>8427.11</v>
      </c>
      <c r="G14" s="7">
        <v>28.339181393422098</v>
      </c>
      <c r="H14" s="6">
        <v>9143.26</v>
      </c>
      <c r="I14" s="7">
        <v>8.4981684112346905</v>
      </c>
      <c r="J14" s="6">
        <v>10722.28</v>
      </c>
      <c r="K14" s="7">
        <v>17.269770300746099</v>
      </c>
    </row>
    <row r="15" spans="1:11" ht="24" customHeight="1">
      <c r="A15" s="8" t="s">
        <v>88</v>
      </c>
      <c r="B15" s="6">
        <v>6169.12</v>
      </c>
      <c r="C15" s="7">
        <v>2.3312289129446699</v>
      </c>
      <c r="D15" s="6">
        <v>6132.43</v>
      </c>
      <c r="E15" s="7">
        <v>-0.59473636434369803</v>
      </c>
      <c r="F15" s="6">
        <v>6924.71</v>
      </c>
      <c r="G15" s="7">
        <v>12.9195115150111</v>
      </c>
      <c r="H15" s="6">
        <v>8336.64</v>
      </c>
      <c r="I15" s="7">
        <v>20.389734732573601</v>
      </c>
      <c r="J15" s="6">
        <v>7928.78</v>
      </c>
      <c r="K15" s="7">
        <v>-4.8923787041302003</v>
      </c>
    </row>
    <row r="16" spans="1:11" ht="24" customHeight="1">
      <c r="A16" s="8" t="s">
        <v>221</v>
      </c>
      <c r="B16" s="6">
        <v>2007.49</v>
      </c>
      <c r="C16" s="7">
        <v>76.684562577010993</v>
      </c>
      <c r="D16" s="6">
        <v>2465.38</v>
      </c>
      <c r="E16" s="7">
        <v>22.8090799954171</v>
      </c>
      <c r="F16" s="6">
        <v>2388.0700000000002</v>
      </c>
      <c r="G16" s="7">
        <v>-3.1358249032603398</v>
      </c>
      <c r="H16" s="6">
        <v>2378.4699999999998</v>
      </c>
      <c r="I16" s="7">
        <v>-0.40199826638247599</v>
      </c>
      <c r="J16" s="6">
        <v>2459.48</v>
      </c>
      <c r="K16" s="7">
        <v>3.4059710654328201</v>
      </c>
    </row>
    <row r="17" spans="1:11" ht="24" customHeight="1">
      <c r="A17" s="8" t="s">
        <v>222</v>
      </c>
      <c r="B17" s="6">
        <v>5639.59</v>
      </c>
      <c r="C17" s="7">
        <v>-0.115654644251273</v>
      </c>
      <c r="D17" s="6">
        <v>7189.63</v>
      </c>
      <c r="E17" s="7">
        <v>27.484976744763301</v>
      </c>
      <c r="F17" s="6">
        <v>7632.7</v>
      </c>
      <c r="G17" s="7">
        <v>6.16262589312662</v>
      </c>
      <c r="H17" s="6">
        <v>6939.95</v>
      </c>
      <c r="I17" s="7">
        <v>-9.0760805481677505</v>
      </c>
      <c r="J17" s="6">
        <v>8808.07</v>
      </c>
      <c r="K17" s="7">
        <v>26.918349555832499</v>
      </c>
    </row>
    <row r="18" spans="1:11" ht="24" customHeight="1">
      <c r="A18" s="8" t="s">
        <v>223</v>
      </c>
      <c r="B18" s="6">
        <v>5113.55</v>
      </c>
      <c r="C18" s="7">
        <v>34.124494431533797</v>
      </c>
      <c r="D18" s="6">
        <v>4896.8999999999996</v>
      </c>
      <c r="E18" s="7">
        <v>-4.2367826656627896</v>
      </c>
      <c r="F18" s="6">
        <v>4982.7700000000004</v>
      </c>
      <c r="G18" s="7">
        <v>1.75355837366497</v>
      </c>
      <c r="H18" s="6">
        <v>3944.17</v>
      </c>
      <c r="I18" s="7">
        <v>-20.843827830704601</v>
      </c>
      <c r="J18" s="6">
        <v>5200.75</v>
      </c>
      <c r="K18" s="7">
        <v>31.8591744270657</v>
      </c>
    </row>
    <row r="19" spans="1:11" ht="24" customHeight="1">
      <c r="A19" s="8" t="s">
        <v>89</v>
      </c>
      <c r="B19" s="6">
        <v>8410.18</v>
      </c>
      <c r="C19" s="7">
        <v>23.436963368920299</v>
      </c>
      <c r="D19" s="6">
        <v>10169.629999999999</v>
      </c>
      <c r="E19" s="7">
        <v>20.9204797043582</v>
      </c>
      <c r="F19" s="6">
        <v>10522.31</v>
      </c>
      <c r="G19" s="7">
        <v>3.4679727777706701</v>
      </c>
      <c r="H19" s="6">
        <v>13149.51</v>
      </c>
      <c r="I19" s="7">
        <v>24.967901534929101</v>
      </c>
      <c r="J19" s="6">
        <v>11544.7</v>
      </c>
      <c r="K19" s="7">
        <v>-12.2043330892177</v>
      </c>
    </row>
    <row r="20" spans="1:11" ht="24" customHeight="1">
      <c r="A20" s="8" t="s">
        <v>90</v>
      </c>
      <c r="B20" s="6">
        <v>11251.52</v>
      </c>
      <c r="C20" s="7">
        <v>-2.47143015644069</v>
      </c>
      <c r="D20" s="6">
        <v>16845.07</v>
      </c>
      <c r="E20" s="7">
        <v>49.713727567475303</v>
      </c>
      <c r="F20" s="6">
        <v>16004.06</v>
      </c>
      <c r="G20" s="7">
        <v>-4.9926180182094804</v>
      </c>
      <c r="H20" s="6">
        <v>16261.63</v>
      </c>
      <c r="I20" s="7">
        <v>1.6094041137061399</v>
      </c>
      <c r="J20" s="6">
        <v>19201.55</v>
      </c>
      <c r="K20" s="7">
        <v>18.0788764717928</v>
      </c>
    </row>
    <row r="21" spans="1:11" ht="24" customHeight="1">
      <c r="A21" s="8" t="s">
        <v>91</v>
      </c>
      <c r="B21" s="6">
        <v>21028.59</v>
      </c>
      <c r="C21" s="7">
        <v>7.9525777652061302</v>
      </c>
      <c r="D21" s="6">
        <v>24020.01</v>
      </c>
      <c r="E21" s="7">
        <v>14.225490154118701</v>
      </c>
      <c r="F21" s="6">
        <v>27602.75</v>
      </c>
      <c r="G21" s="7">
        <v>14.915647412303301</v>
      </c>
      <c r="H21" s="6">
        <v>26103.18</v>
      </c>
      <c r="I21" s="7">
        <v>-5.4326833377109098</v>
      </c>
      <c r="J21" s="6">
        <v>28890.66</v>
      </c>
      <c r="K21" s="7">
        <v>10.6786989171434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60" t="s">
        <v>92</v>
      </c>
      <c r="B23" s="6">
        <v>278008.99</v>
      </c>
      <c r="C23" s="7">
        <v>8.2716136937664402</v>
      </c>
      <c r="D23" s="6">
        <v>293029.36</v>
      </c>
      <c r="E23" s="7">
        <v>5.4028360737543002</v>
      </c>
      <c r="F23" s="6">
        <v>284649.62</v>
      </c>
      <c r="G23" s="7">
        <v>-2.8596929672849098</v>
      </c>
      <c r="H23" s="6">
        <v>303335.86</v>
      </c>
      <c r="I23" s="7">
        <v>6.5646460374688003</v>
      </c>
      <c r="J23" s="6">
        <v>330329.17</v>
      </c>
      <c r="K23" s="7">
        <v>8.8988192823624601</v>
      </c>
    </row>
    <row r="24" spans="1:11" ht="12" customHeight="1">
      <c r="A24" s="261"/>
      <c r="B24" s="183">
        <v>275630.46000000002</v>
      </c>
      <c r="C24" s="232">
        <v>8.0478900000000007</v>
      </c>
      <c r="D24" s="183">
        <v>290962.93</v>
      </c>
      <c r="E24" s="232">
        <v>5.5626910000000001</v>
      </c>
      <c r="F24" s="183">
        <v>282614.28000000003</v>
      </c>
      <c r="G24" s="232">
        <v>-2.8693170000000001</v>
      </c>
      <c r="H24" s="183">
        <v>302931.40999999997</v>
      </c>
      <c r="I24" s="232">
        <v>7.1889960000000004</v>
      </c>
      <c r="J24" s="183">
        <v>327377.07</v>
      </c>
      <c r="K24" s="233">
        <v>8.0697010000000002</v>
      </c>
    </row>
    <row r="25" spans="1:11" ht="24" customHeight="1">
      <c r="A25" s="8" t="s">
        <v>93</v>
      </c>
      <c r="B25" s="6">
        <v>20412.12</v>
      </c>
      <c r="C25" s="7">
        <v>-3.4602203772842399</v>
      </c>
      <c r="D25" s="6">
        <v>21521.5</v>
      </c>
      <c r="E25" s="7">
        <v>5.43490827998267</v>
      </c>
      <c r="F25" s="6">
        <v>20535.330000000002</v>
      </c>
      <c r="G25" s="7">
        <v>-4.5822549543479703</v>
      </c>
      <c r="H25" s="6">
        <v>27182.240000000002</v>
      </c>
      <c r="I25" s="7">
        <v>32.368167446055097</v>
      </c>
      <c r="J25" s="6">
        <v>26707.19</v>
      </c>
      <c r="K25" s="7">
        <v>-1.7476484645857</v>
      </c>
    </row>
    <row r="26" spans="1:11" ht="24" customHeight="1">
      <c r="A26" s="8" t="s">
        <v>94</v>
      </c>
      <c r="B26" s="6">
        <v>58369.38</v>
      </c>
      <c r="C26" s="7">
        <v>7.0387579044386896</v>
      </c>
      <c r="D26" s="6">
        <v>60887.72</v>
      </c>
      <c r="E26" s="7">
        <v>4.3144881785621099</v>
      </c>
      <c r="F26" s="6">
        <v>57725.51</v>
      </c>
      <c r="G26" s="7">
        <v>-5.1935102841755203</v>
      </c>
      <c r="H26" s="6">
        <v>58703.92</v>
      </c>
      <c r="I26" s="7">
        <v>1.6949352201479</v>
      </c>
      <c r="J26" s="6">
        <v>50549.17</v>
      </c>
      <c r="K26" s="7">
        <v>-13.8913210565836</v>
      </c>
    </row>
    <row r="27" spans="1:11" ht="24" customHeight="1">
      <c r="A27" s="8" t="s">
        <v>95</v>
      </c>
      <c r="B27" s="6">
        <v>26426.94</v>
      </c>
      <c r="C27" s="7">
        <v>24.7069660420843</v>
      </c>
      <c r="D27" s="6">
        <v>33560.58</v>
      </c>
      <c r="E27" s="7">
        <v>26.993817672420601</v>
      </c>
      <c r="F27" s="6">
        <v>30584.93</v>
      </c>
      <c r="G27" s="7">
        <v>-8.8665034990455993</v>
      </c>
      <c r="H27" s="6">
        <v>32390.77</v>
      </c>
      <c r="I27" s="7">
        <v>5.9043457022788601</v>
      </c>
      <c r="J27" s="6">
        <v>52563.43</v>
      </c>
      <c r="K27" s="7">
        <v>62.279038133394103</v>
      </c>
    </row>
    <row r="28" spans="1:11" ht="24" customHeight="1">
      <c r="A28" s="8" t="s">
        <v>96</v>
      </c>
      <c r="B28" s="6">
        <v>19359.990000000002</v>
      </c>
      <c r="C28" s="7">
        <v>31.543475956612301</v>
      </c>
      <c r="D28" s="6">
        <v>17376.71</v>
      </c>
      <c r="E28" s="7">
        <v>-10.244220167469001</v>
      </c>
      <c r="F28" s="6">
        <v>20747.64</v>
      </c>
      <c r="G28" s="7">
        <v>19.399126762200599</v>
      </c>
      <c r="H28" s="6">
        <v>18214.25</v>
      </c>
      <c r="I28" s="7">
        <v>-12.2104971938977</v>
      </c>
      <c r="J28" s="6">
        <v>19096.16</v>
      </c>
      <c r="K28" s="7">
        <v>4.8418683173888502</v>
      </c>
    </row>
    <row r="29" spans="1:11" ht="24" customHeight="1">
      <c r="A29" s="8" t="s">
        <v>97</v>
      </c>
      <c r="B29" s="6">
        <v>34836.410000000003</v>
      </c>
      <c r="C29" s="7">
        <v>-5.7303659332234798</v>
      </c>
      <c r="D29" s="6">
        <v>38505.83</v>
      </c>
      <c r="E29" s="7">
        <v>10.533289739097601</v>
      </c>
      <c r="F29" s="6">
        <v>33197.49</v>
      </c>
      <c r="G29" s="7">
        <v>-13.785808538603099</v>
      </c>
      <c r="H29" s="6">
        <v>35318.18</v>
      </c>
      <c r="I29" s="7">
        <v>6.3881034379406296</v>
      </c>
      <c r="J29" s="6">
        <v>40867.68</v>
      </c>
      <c r="K29" s="7">
        <v>15.7128708217694</v>
      </c>
    </row>
    <row r="30" spans="1:11" ht="24" customHeight="1">
      <c r="A30" s="8" t="s">
        <v>98</v>
      </c>
      <c r="B30" s="6">
        <v>35097.370000000003</v>
      </c>
      <c r="C30" s="7">
        <v>-3.1065912884365701</v>
      </c>
      <c r="D30" s="6">
        <v>42137.16</v>
      </c>
      <c r="E30" s="7">
        <v>20.057884679108401</v>
      </c>
      <c r="F30" s="6">
        <v>45717.4</v>
      </c>
      <c r="G30" s="7">
        <v>8.4966333753864696</v>
      </c>
      <c r="H30" s="6">
        <v>46507.58</v>
      </c>
      <c r="I30" s="7">
        <v>1.7284010026816901</v>
      </c>
      <c r="J30" s="6">
        <v>58072.35</v>
      </c>
      <c r="K30" s="7">
        <v>24.866419624499901</v>
      </c>
    </row>
    <row r="31" spans="1:11" ht="24" customHeight="1">
      <c r="A31" s="8" t="s">
        <v>99</v>
      </c>
      <c r="B31" s="6">
        <v>23033.66</v>
      </c>
      <c r="C31" s="7">
        <v>34.253354051965204</v>
      </c>
      <c r="D31" s="6">
        <v>23795.94</v>
      </c>
      <c r="E31" s="7">
        <v>3.3094176088385399</v>
      </c>
      <c r="F31" s="6">
        <v>20391.5</v>
      </c>
      <c r="G31" s="7">
        <v>-14.3068103214245</v>
      </c>
      <c r="H31" s="6">
        <v>23584.53</v>
      </c>
      <c r="I31" s="7">
        <v>15.658632273251101</v>
      </c>
      <c r="J31" s="6">
        <v>27608.66</v>
      </c>
      <c r="K31" s="7">
        <v>17.062582972821499</v>
      </c>
    </row>
    <row r="32" spans="1:11" ht="24" customHeight="1">
      <c r="A32" s="8" t="s">
        <v>100</v>
      </c>
      <c r="B32" s="6">
        <v>49912.11</v>
      </c>
      <c r="C32" s="7">
        <v>9.2031786824102699</v>
      </c>
      <c r="D32" s="6">
        <v>44621.75</v>
      </c>
      <c r="E32" s="7">
        <v>-10.599351540137199</v>
      </c>
      <c r="F32" s="6">
        <v>45862.48</v>
      </c>
      <c r="G32" s="7">
        <v>2.7805498439662202</v>
      </c>
      <c r="H32" s="6">
        <v>50438.43</v>
      </c>
      <c r="I32" s="7">
        <v>9.9775459155283297</v>
      </c>
      <c r="J32" s="6">
        <v>45023.72</v>
      </c>
      <c r="K32" s="7">
        <v>-10.7352865662154</v>
      </c>
    </row>
    <row r="33" spans="1:11" ht="12" customHeight="1" thickBot="1">
      <c r="A33" s="8"/>
      <c r="B33" s="6"/>
      <c r="C33" s="7"/>
      <c r="D33" s="6"/>
      <c r="E33" s="7"/>
      <c r="F33" s="6"/>
      <c r="G33" s="7"/>
      <c r="H33" s="6"/>
      <c r="I33" s="7"/>
      <c r="J33" s="6"/>
      <c r="K33" s="16"/>
    </row>
    <row r="34" spans="1:11" ht="24" customHeight="1">
      <c r="A34" s="5" t="s">
        <v>101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102</v>
      </c>
      <c r="B35" s="6">
        <v>189194.78</v>
      </c>
      <c r="C35" s="7">
        <v>4.6101794816289798</v>
      </c>
      <c r="D35" s="6">
        <v>200160.09</v>
      </c>
      <c r="E35" s="7">
        <v>5.7957782979001804</v>
      </c>
      <c r="F35" s="6">
        <v>198536.6</v>
      </c>
      <c r="G35" s="7">
        <v>-0.81109575840018799</v>
      </c>
      <c r="H35" s="6">
        <v>212560.22</v>
      </c>
      <c r="I35" s="7">
        <v>7.0634935825434697</v>
      </c>
      <c r="J35" s="6">
        <v>249987.65</v>
      </c>
      <c r="K35" s="7">
        <v>17.607918358383301</v>
      </c>
    </row>
    <row r="36" spans="1:11" ht="24" customHeight="1">
      <c r="A36" s="8" t="s">
        <v>103</v>
      </c>
      <c r="B36" s="6">
        <v>49501.43</v>
      </c>
      <c r="C36" s="185">
        <v>2.5079767539332898</v>
      </c>
      <c r="D36" s="6">
        <v>60717.96</v>
      </c>
      <c r="E36" s="185">
        <v>22.6590019722662</v>
      </c>
      <c r="F36" s="6">
        <v>65748.33</v>
      </c>
      <c r="G36" s="188">
        <v>8.2848139166730803</v>
      </c>
      <c r="H36" s="6">
        <v>70169.53</v>
      </c>
      <c r="I36" s="185">
        <v>6.7244293505249404</v>
      </c>
      <c r="J36" s="6">
        <v>72476.479999999996</v>
      </c>
      <c r="K36" s="185">
        <v>3.2876805644843201</v>
      </c>
    </row>
    <row r="37" spans="1:11" ht="24" customHeight="1">
      <c r="A37" s="8" t="s">
        <v>104</v>
      </c>
      <c r="B37" s="6">
        <v>116560.29</v>
      </c>
      <c r="C37" s="7">
        <v>12.1953306606475</v>
      </c>
      <c r="D37" s="6">
        <v>128150.61</v>
      </c>
      <c r="E37" s="7">
        <v>9.9436265987327204</v>
      </c>
      <c r="F37" s="6">
        <v>133719.95000000001</v>
      </c>
      <c r="G37" s="7">
        <v>4.3459332733570202</v>
      </c>
      <c r="H37" s="6">
        <v>137294.41</v>
      </c>
      <c r="I37" s="7">
        <v>2.67309402972406</v>
      </c>
      <c r="J37" s="6">
        <v>127994.14</v>
      </c>
      <c r="K37" s="7">
        <v>-6.7739611539901698</v>
      </c>
    </row>
    <row r="38" spans="1:11" ht="24" customHeight="1" thickBot="1">
      <c r="A38" s="14" t="s">
        <v>105</v>
      </c>
      <c r="B38" s="15">
        <v>42971.51</v>
      </c>
      <c r="C38" s="16">
        <v>18.535066196073799</v>
      </c>
      <c r="D38" s="15">
        <v>37336.730000000003</v>
      </c>
      <c r="E38" s="16">
        <v>-13.112827545506301</v>
      </c>
      <c r="F38" s="15">
        <v>31375.41</v>
      </c>
      <c r="G38" s="16">
        <v>-15.9663687741267</v>
      </c>
      <c r="H38" s="15">
        <v>34451.29</v>
      </c>
      <c r="I38" s="16">
        <v>9.8034734844899205</v>
      </c>
      <c r="J38" s="15">
        <v>40818.269999999997</v>
      </c>
      <c r="K38" s="16">
        <v>18.4811076740522</v>
      </c>
    </row>
    <row r="39" spans="1:11" ht="11.9" customHeight="1">
      <c r="A39" s="32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1" ht="11.9" customHeight="1">
      <c r="A40" s="257" t="s">
        <v>106</v>
      </c>
      <c r="B40" s="257"/>
      <c r="C40" s="257"/>
      <c r="D40" s="257"/>
      <c r="E40" s="257"/>
      <c r="F40" s="257"/>
      <c r="G40" s="257"/>
      <c r="H40" s="257"/>
      <c r="I40" s="257"/>
      <c r="J40" s="257"/>
      <c r="K40" s="257"/>
    </row>
    <row r="41" spans="1:11" ht="13">
      <c r="A41" s="227" t="s">
        <v>318</v>
      </c>
      <c r="B41" s="228"/>
      <c r="C41" s="228"/>
      <c r="D41" s="228"/>
      <c r="E41" s="228"/>
      <c r="F41" s="228"/>
      <c r="G41" s="228"/>
      <c r="H41" s="228"/>
      <c r="I41" s="228"/>
      <c r="J41" s="228"/>
      <c r="K41" s="228"/>
    </row>
    <row r="42" spans="1:11" ht="13">
      <c r="A42" s="258" t="s">
        <v>113</v>
      </c>
      <c r="B42" s="259"/>
      <c r="C42" s="259"/>
      <c r="D42" s="259"/>
      <c r="E42" s="259"/>
      <c r="F42" s="259"/>
      <c r="G42" s="259"/>
      <c r="H42" s="259"/>
      <c r="I42" s="259"/>
      <c r="J42" s="259"/>
      <c r="K42" s="259"/>
    </row>
    <row r="43" spans="1:11">
      <c r="A43" s="32"/>
    </row>
    <row r="44" spans="1:11">
      <c r="A44" s="21" t="s">
        <v>316</v>
      </c>
    </row>
    <row r="45" spans="1:11">
      <c r="A45" s="21" t="s">
        <v>317</v>
      </c>
    </row>
    <row r="46" spans="1:11">
      <c r="A46" s="21"/>
    </row>
    <row r="47" spans="1:11">
      <c r="A47" s="21"/>
    </row>
  </sheetData>
  <mergeCells count="11">
    <mergeCell ref="A9:A10"/>
    <mergeCell ref="A4:A5"/>
    <mergeCell ref="F4:F5"/>
    <mergeCell ref="D4:D5"/>
    <mergeCell ref="B4:B5"/>
    <mergeCell ref="A40:K40"/>
    <mergeCell ref="A42:K42"/>
    <mergeCell ref="H4:H5"/>
    <mergeCell ref="J4:J5"/>
    <mergeCell ref="A23:A24"/>
    <mergeCell ref="A6:A7"/>
  </mergeCells>
  <phoneticPr fontId="2"/>
  <pageMargins left="0.75" right="0.75" top="1" bottom="1" header="0.51200000000000001" footer="0.51200000000000001"/>
  <pageSetup paperSize="9" scale="57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A2E5-2F39-40D1-943B-CDC8C5A0C084}">
  <sheetPr codeName="Sheet2">
    <tabColor rgb="FFFFC000"/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7265625" style="2" customWidth="1"/>
    <col min="7" max="73" width="10.26953125" style="2" customWidth="1"/>
    <col min="74" max="16384" width="9" style="2"/>
  </cols>
  <sheetData>
    <row r="1" spans="1:6" ht="21" customHeight="1">
      <c r="B1" s="1" t="s">
        <v>274</v>
      </c>
    </row>
    <row r="3" spans="1:6" ht="11.5" thickBot="1">
      <c r="F3" s="3" t="s">
        <v>79</v>
      </c>
    </row>
    <row r="4" spans="1:6" ht="13.5" customHeight="1">
      <c r="A4" s="247" t="s">
        <v>107</v>
      </c>
      <c r="B4" s="263" t="s">
        <v>256</v>
      </c>
      <c r="C4" s="263" t="s">
        <v>310</v>
      </c>
      <c r="D4" s="263" t="s">
        <v>320</v>
      </c>
      <c r="E4" s="263" t="s">
        <v>321</v>
      </c>
      <c r="F4" s="263" t="s">
        <v>323</v>
      </c>
    </row>
    <row r="5" spans="1:6" ht="13.5" customHeight="1" thickBot="1">
      <c r="A5" s="248"/>
      <c r="B5" s="264"/>
      <c r="C5" s="264"/>
      <c r="D5" s="264"/>
      <c r="E5" s="264"/>
      <c r="F5" s="264"/>
    </row>
    <row r="6" spans="1:6" ht="24" customHeight="1">
      <c r="A6" s="5" t="s">
        <v>31</v>
      </c>
      <c r="B6" s="6">
        <v>27411.200000000001</v>
      </c>
      <c r="C6" s="6">
        <v>-449.42</v>
      </c>
      <c r="D6" s="6">
        <v>28525.67</v>
      </c>
      <c r="E6" s="6">
        <v>69618.19</v>
      </c>
      <c r="F6" s="6">
        <v>46532.79</v>
      </c>
    </row>
    <row r="7" spans="1:6" ht="24" customHeight="1">
      <c r="A7" s="34" t="s">
        <v>230</v>
      </c>
      <c r="B7" s="6">
        <v>21211.66</v>
      </c>
      <c r="C7" s="6">
        <v>1891.13</v>
      </c>
      <c r="D7" s="6">
        <v>18597.560000000001</v>
      </c>
      <c r="E7" s="6">
        <v>37973.14</v>
      </c>
      <c r="F7" s="6">
        <v>26249.98</v>
      </c>
    </row>
    <row r="8" spans="1:6" ht="24" customHeight="1">
      <c r="A8" s="8" t="s">
        <v>231</v>
      </c>
      <c r="B8" s="6">
        <v>9490.74</v>
      </c>
      <c r="C8" s="6">
        <v>5651.89</v>
      </c>
      <c r="D8" s="6">
        <v>2722.6</v>
      </c>
      <c r="E8" s="6">
        <v>19618.009999999998</v>
      </c>
      <c r="F8" s="6">
        <v>9054.93</v>
      </c>
    </row>
    <row r="9" spans="1:6" ht="24" customHeight="1">
      <c r="A9" s="34" t="s">
        <v>232</v>
      </c>
      <c r="B9" s="6">
        <v>-3291.2</v>
      </c>
      <c r="C9" s="6">
        <v>-7992.44</v>
      </c>
      <c r="D9" s="6">
        <v>7205.51</v>
      </c>
      <c r="E9" s="6">
        <v>12027.04</v>
      </c>
      <c r="F9" s="6">
        <v>11227.88</v>
      </c>
    </row>
    <row r="10" spans="1:6" ht="24" customHeight="1">
      <c r="A10" s="8" t="s">
        <v>233</v>
      </c>
      <c r="B10" s="6">
        <v>9019.52</v>
      </c>
      <c r="C10" s="6">
        <v>-12174.23</v>
      </c>
      <c r="D10" s="6">
        <v>3857.13</v>
      </c>
      <c r="E10" s="6">
        <v>28632.44</v>
      </c>
      <c r="F10" s="6">
        <v>28788.71</v>
      </c>
    </row>
    <row r="11" spans="1:6" ht="24" customHeight="1">
      <c r="A11" s="8" t="s">
        <v>234</v>
      </c>
      <c r="B11" s="6">
        <v>-7134.82</v>
      </c>
      <c r="C11" s="6">
        <v>-5274.48</v>
      </c>
      <c r="D11" s="6">
        <v>2475.5</v>
      </c>
      <c r="E11" s="6">
        <v>2034.89</v>
      </c>
      <c r="F11" s="6">
        <v>1232.96</v>
      </c>
    </row>
    <row r="12" spans="1:6" s="10" customFormat="1" ht="24" customHeight="1">
      <c r="A12" s="46" t="s">
        <v>235</v>
      </c>
      <c r="B12" s="6">
        <v>939.76</v>
      </c>
      <c r="C12" s="6">
        <v>-3135.58</v>
      </c>
      <c r="D12" s="6">
        <v>-126.31</v>
      </c>
      <c r="E12" s="6">
        <v>3659.01</v>
      </c>
      <c r="F12" s="6">
        <v>2627.47</v>
      </c>
    </row>
    <row r="13" spans="1:6" s="10" customFormat="1" ht="24" customHeight="1">
      <c r="A13" s="46" t="s">
        <v>236</v>
      </c>
      <c r="B13" s="6">
        <v>387.19</v>
      </c>
      <c r="C13" s="6">
        <v>-4.37</v>
      </c>
      <c r="D13" s="6">
        <v>386.69</v>
      </c>
      <c r="E13" s="6">
        <v>646.59</v>
      </c>
      <c r="F13" s="6">
        <v>898.22</v>
      </c>
    </row>
    <row r="14" spans="1:6" s="10" customFormat="1" ht="24" customHeight="1">
      <c r="A14" s="46" t="s">
        <v>237</v>
      </c>
      <c r="B14" s="6">
        <v>622.85</v>
      </c>
      <c r="C14" s="6">
        <v>128.53</v>
      </c>
      <c r="D14" s="6">
        <v>980.82</v>
      </c>
      <c r="E14" s="6">
        <v>3345.12</v>
      </c>
      <c r="F14" s="6">
        <v>2937.91</v>
      </c>
    </row>
    <row r="15" spans="1:6" s="10" customFormat="1" ht="24" customHeight="1">
      <c r="A15" s="46" t="s">
        <v>238</v>
      </c>
      <c r="B15" s="6">
        <v>452.43</v>
      </c>
      <c r="C15" s="6">
        <v>648.14</v>
      </c>
      <c r="D15" s="6">
        <v>662.19</v>
      </c>
      <c r="E15" s="6">
        <v>1064.31</v>
      </c>
      <c r="F15" s="6">
        <v>1386.61</v>
      </c>
    </row>
    <row r="16" spans="1:6" ht="24" customHeight="1">
      <c r="A16" s="8" t="s">
        <v>239</v>
      </c>
      <c r="B16" s="6">
        <v>2057.5</v>
      </c>
      <c r="C16" s="6">
        <v>-1983.57</v>
      </c>
      <c r="D16" s="6">
        <v>459.27</v>
      </c>
      <c r="E16" s="6">
        <v>4768.41</v>
      </c>
      <c r="F16" s="6">
        <v>1237.9100000000001</v>
      </c>
    </row>
    <row r="17" spans="1:6" ht="24" customHeight="1">
      <c r="A17" s="11" t="s">
        <v>240</v>
      </c>
      <c r="B17" s="6">
        <v>816.68</v>
      </c>
      <c r="C17" s="6">
        <v>116.7</v>
      </c>
      <c r="D17" s="6">
        <v>33.36</v>
      </c>
      <c r="E17" s="6">
        <v>1743.03</v>
      </c>
      <c r="F17" s="6">
        <v>3584.15</v>
      </c>
    </row>
    <row r="18" spans="1:6" ht="24" customHeight="1">
      <c r="A18" s="8" t="s">
        <v>241</v>
      </c>
      <c r="B18" s="6">
        <v>18391.68</v>
      </c>
      <c r="C18" s="6">
        <v>11724.81</v>
      </c>
      <c r="D18" s="6">
        <v>24668.54</v>
      </c>
      <c r="E18" s="6">
        <v>40985.75</v>
      </c>
      <c r="F18" s="6">
        <v>17744.080000000002</v>
      </c>
    </row>
    <row r="19" spans="1:6" ht="24" customHeight="1">
      <c r="A19" s="8" t="s">
        <v>242</v>
      </c>
      <c r="B19" s="6">
        <v>2748.81</v>
      </c>
      <c r="C19" s="6">
        <v>2981.63</v>
      </c>
      <c r="D19" s="6">
        <v>-3876.56</v>
      </c>
      <c r="E19" s="6">
        <v>1586.59</v>
      </c>
      <c r="F19" s="6">
        <v>3510.57</v>
      </c>
    </row>
    <row r="20" spans="1:6" ht="24" customHeight="1">
      <c r="A20" s="8" t="s">
        <v>243</v>
      </c>
      <c r="B20" s="6">
        <v>5660.17</v>
      </c>
      <c r="C20" s="6">
        <v>150.26</v>
      </c>
      <c r="D20" s="6">
        <v>7476.51</v>
      </c>
      <c r="E20" s="6">
        <v>14637.48</v>
      </c>
      <c r="F20" s="6">
        <v>9687.36</v>
      </c>
    </row>
    <row r="21" spans="1:6" ht="24" customHeight="1" thickBot="1">
      <c r="A21" s="8" t="s">
        <v>244</v>
      </c>
      <c r="B21" s="6">
        <v>12728.93</v>
      </c>
      <c r="C21" s="6">
        <v>10568.99</v>
      </c>
      <c r="D21" s="6">
        <v>15320.12</v>
      </c>
      <c r="E21" s="6">
        <v>20806.73</v>
      </c>
      <c r="F21" s="6">
        <v>7582.88</v>
      </c>
    </row>
    <row r="22" spans="1:6" ht="24" customHeight="1" thickBot="1">
      <c r="A22" s="175" t="s">
        <v>108</v>
      </c>
      <c r="B22" s="176">
        <v>7.6608086063769898</v>
      </c>
      <c r="C22" s="176">
        <v>7.5747944630056896</v>
      </c>
      <c r="D22" s="176">
        <v>7.48005328400086</v>
      </c>
      <c r="E22" s="176">
        <v>7.7426722049661603</v>
      </c>
      <c r="F22" s="176">
        <v>8.0807944144115407</v>
      </c>
    </row>
    <row r="23" spans="1:6" ht="11.9" customHeight="1">
      <c r="A23" s="32"/>
      <c r="B23" s="19"/>
      <c r="C23" s="19"/>
      <c r="D23" s="19"/>
      <c r="E23" s="19"/>
      <c r="F23" s="19"/>
    </row>
    <row r="24" spans="1:6" ht="11.9" customHeight="1">
      <c r="A24" s="21" t="s">
        <v>109</v>
      </c>
    </row>
    <row r="25" spans="1:6" ht="11.9" customHeight="1">
      <c r="A25" s="265" t="s">
        <v>110</v>
      </c>
      <c r="B25" s="266" t="s">
        <v>111</v>
      </c>
      <c r="C25" s="266"/>
      <c r="D25" s="267" t="s">
        <v>75</v>
      </c>
    </row>
    <row r="26" spans="1:6" ht="11.9" customHeight="1">
      <c r="A26" s="265"/>
      <c r="B26" s="268" t="s">
        <v>112</v>
      </c>
      <c r="C26" s="268"/>
      <c r="D26" s="267"/>
    </row>
    <row r="27" spans="1:6">
      <c r="A27" s="21" t="s">
        <v>113</v>
      </c>
    </row>
    <row r="28" spans="1:6">
      <c r="A28" s="45"/>
    </row>
    <row r="29" spans="1:6">
      <c r="A29" s="45"/>
    </row>
    <row r="30" spans="1:6">
      <c r="A30" s="21"/>
    </row>
    <row r="31" spans="1:6">
      <c r="A31" s="21"/>
    </row>
    <row r="32" spans="1:6">
      <c r="A32" s="21"/>
    </row>
    <row r="33" spans="1:1">
      <c r="A33" s="21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ageMargins left="0.75" right="0.75" top="1" bottom="1" header="0.51200000000000001" footer="0.51200000000000001"/>
  <pageSetup paperSize="9" scale="78" orientation="landscape" horizontalDpi="300" verticalDpi="300" r:id="rId1"/>
  <headerFooter alignWithMargins="0"/>
  <ignoredErrors>
    <ignoredError sqref="F4:F5 B4:E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111C-9BD7-496E-A777-A02BD1B9688C}">
  <sheetPr codeName="Sheet3">
    <tabColor rgb="FFFFC000"/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D1" s="1" t="s">
        <v>275</v>
      </c>
    </row>
    <row r="3" spans="1:11" ht="11.5" thickBot="1">
      <c r="K3" s="3" t="s">
        <v>79</v>
      </c>
    </row>
    <row r="4" spans="1:11" ht="12" customHeight="1" thickBot="1">
      <c r="A4" s="236" t="s">
        <v>114</v>
      </c>
      <c r="B4" s="240" t="s">
        <v>254</v>
      </c>
      <c r="C4" s="180"/>
      <c r="D4" s="240" t="s">
        <v>257</v>
      </c>
      <c r="E4" s="180"/>
      <c r="F4" s="240" t="s">
        <v>311</v>
      </c>
      <c r="G4" s="180"/>
      <c r="H4" s="240" t="s">
        <v>319</v>
      </c>
      <c r="I4" s="180"/>
      <c r="J4" s="240" t="s">
        <v>324</v>
      </c>
      <c r="K4" s="180"/>
    </row>
    <row r="5" spans="1:11" ht="25" customHeight="1" thickBot="1">
      <c r="A5" s="237"/>
      <c r="B5" s="241"/>
      <c r="C5" s="4" t="s">
        <v>7</v>
      </c>
      <c r="D5" s="241"/>
      <c r="E5" s="4" t="s">
        <v>7</v>
      </c>
      <c r="F5" s="241"/>
      <c r="G5" s="4" t="s">
        <v>7</v>
      </c>
      <c r="H5" s="241"/>
      <c r="I5" s="4" t="s">
        <v>7</v>
      </c>
      <c r="J5" s="241"/>
      <c r="K5" s="4" t="s">
        <v>115</v>
      </c>
    </row>
    <row r="6" spans="1:11" ht="24" customHeight="1">
      <c r="A6" s="5" t="s">
        <v>116</v>
      </c>
      <c r="B6" s="26">
        <v>2312982.5</v>
      </c>
      <c r="C6" s="27">
        <v>5.4894809999999996</v>
      </c>
      <c r="D6" s="26">
        <v>2247030.1800000002</v>
      </c>
      <c r="E6" s="27">
        <v>-2.851397</v>
      </c>
      <c r="F6" s="26">
        <v>2267286.11</v>
      </c>
      <c r="G6" s="27">
        <v>0.90145299999999995</v>
      </c>
      <c r="H6" s="26">
        <v>2432589.64</v>
      </c>
      <c r="I6" s="27">
        <v>7.2908099999999996</v>
      </c>
      <c r="J6" s="26">
        <v>2402155.29</v>
      </c>
      <c r="K6" s="27">
        <v>-1.251109</v>
      </c>
    </row>
    <row r="7" spans="1:11" ht="24" customHeight="1">
      <c r="A7" s="8" t="s">
        <v>117</v>
      </c>
      <c r="B7" s="29">
        <v>1767296.4</v>
      </c>
      <c r="C7" s="28">
        <v>5.7093759999999998</v>
      </c>
      <c r="D7" s="29">
        <v>1662300.48</v>
      </c>
      <c r="E7" s="28">
        <v>-5.9410480000000003</v>
      </c>
      <c r="F7" s="29">
        <v>1674136.09</v>
      </c>
      <c r="G7" s="28">
        <v>0.71200200000000002</v>
      </c>
      <c r="H7" s="29">
        <v>1813036.43</v>
      </c>
      <c r="I7" s="28">
        <v>8.296837</v>
      </c>
      <c r="J7" s="29">
        <v>1762338.1</v>
      </c>
      <c r="K7" s="28">
        <v>-2.796322</v>
      </c>
    </row>
    <row r="8" spans="1:11" ht="24" customHeight="1">
      <c r="A8" s="8" t="s">
        <v>118</v>
      </c>
      <c r="B8" s="29">
        <v>1613946.96</v>
      </c>
      <c r="C8" s="28">
        <v>-3.9505150000000002</v>
      </c>
      <c r="D8" s="29">
        <v>1614323.62</v>
      </c>
      <c r="E8" s="28">
        <v>2.3338000000000001E-2</v>
      </c>
      <c r="F8" s="29">
        <v>1564709.95</v>
      </c>
      <c r="G8" s="28">
        <v>-3.0733410000000001</v>
      </c>
      <c r="H8" s="29">
        <v>1688913.68</v>
      </c>
      <c r="I8" s="28">
        <v>7.9378120000000001</v>
      </c>
      <c r="J8" s="29">
        <v>1671351.4</v>
      </c>
      <c r="K8" s="28">
        <v>-1.039857</v>
      </c>
    </row>
    <row r="9" spans="1:11" ht="24" customHeight="1">
      <c r="A9" s="8" t="s">
        <v>119</v>
      </c>
      <c r="B9" s="29">
        <v>2887808.01</v>
      </c>
      <c r="C9" s="28">
        <v>0.47711399999999998</v>
      </c>
      <c r="D9" s="29">
        <v>2957098.54</v>
      </c>
      <c r="E9" s="28">
        <v>2.399416</v>
      </c>
      <c r="F9" s="29">
        <v>3107043.91</v>
      </c>
      <c r="G9" s="28">
        <v>5.0706920000000002</v>
      </c>
      <c r="H9" s="29">
        <v>3084779.39</v>
      </c>
      <c r="I9" s="28">
        <v>-0.71658200000000005</v>
      </c>
      <c r="J9" s="29">
        <v>3193428.6</v>
      </c>
      <c r="K9" s="28">
        <v>3.522106</v>
      </c>
    </row>
    <row r="10" spans="1:11" ht="24" customHeight="1">
      <c r="A10" s="8" t="s">
        <v>120</v>
      </c>
      <c r="B10" s="29">
        <v>1858637.67</v>
      </c>
      <c r="C10" s="28">
        <v>6.5478399999999999</v>
      </c>
      <c r="D10" s="29">
        <v>1999633.79</v>
      </c>
      <c r="E10" s="28">
        <v>7.5859930000000002</v>
      </c>
      <c r="F10" s="29">
        <v>2109590.19</v>
      </c>
      <c r="G10" s="28">
        <v>5.4988270000000004</v>
      </c>
      <c r="H10" s="29">
        <v>2219694.59</v>
      </c>
      <c r="I10" s="28">
        <v>5.2192319999999999</v>
      </c>
      <c r="J10" s="29">
        <v>2232019.0099999998</v>
      </c>
      <c r="K10" s="28">
        <v>0.55523</v>
      </c>
    </row>
    <row r="11" spans="1:11" ht="24" customHeight="1" thickBot="1">
      <c r="A11" s="8" t="s">
        <v>121</v>
      </c>
      <c r="B11" s="29">
        <v>243857.75</v>
      </c>
      <c r="C11" s="28">
        <v>-7.358911</v>
      </c>
      <c r="D11" s="29">
        <v>188933.9</v>
      </c>
      <c r="E11" s="28">
        <v>-22.522905000000002</v>
      </c>
      <c r="F11" s="29">
        <v>175381.42</v>
      </c>
      <c r="G11" s="28">
        <v>-7.173133</v>
      </c>
      <c r="H11" s="29">
        <v>179585.67</v>
      </c>
      <c r="I11" s="28">
        <v>2.3972039999999999</v>
      </c>
      <c r="J11" s="29">
        <v>172102.48</v>
      </c>
      <c r="K11" s="28">
        <v>-4.166919</v>
      </c>
    </row>
    <row r="12" spans="1:11" ht="24" customHeight="1" thickBot="1">
      <c r="A12" s="177" t="s">
        <v>122</v>
      </c>
      <c r="B12" s="269">
        <v>14.108976</v>
      </c>
      <c r="C12" s="270"/>
      <c r="D12" s="269">
        <v>14.910069</v>
      </c>
      <c r="E12" s="270"/>
      <c r="F12" s="269">
        <v>15.332068</v>
      </c>
      <c r="G12" s="270"/>
      <c r="H12" s="269">
        <v>15.322267999999999</v>
      </c>
      <c r="I12" s="270"/>
      <c r="J12" s="269">
        <v>15.416183999999999</v>
      </c>
      <c r="K12" s="270"/>
    </row>
    <row r="13" spans="1:11" ht="11.9" customHeight="1">
      <c r="A13" s="32"/>
      <c r="B13" s="19"/>
      <c r="C13" s="18"/>
      <c r="D13" s="19"/>
      <c r="E13" s="18"/>
      <c r="F13" s="19"/>
      <c r="G13" s="18"/>
      <c r="H13" s="19"/>
      <c r="I13" s="18"/>
      <c r="J13" s="19"/>
      <c r="K13" s="18"/>
    </row>
    <row r="14" spans="1:11" ht="12.75" customHeight="1">
      <c r="A14" s="253" t="s">
        <v>123</v>
      </c>
      <c r="B14" s="255" t="s">
        <v>124</v>
      </c>
      <c r="C14" s="255"/>
      <c r="D14" s="255"/>
      <c r="E14" s="255"/>
      <c r="F14" s="255"/>
      <c r="G14" s="255"/>
      <c r="H14" s="255"/>
      <c r="I14" s="254" t="s">
        <v>75</v>
      </c>
      <c r="J14" s="19"/>
      <c r="K14" s="18"/>
    </row>
    <row r="15" spans="1:11" ht="12.75" customHeight="1">
      <c r="A15" s="253"/>
      <c r="B15" s="256" t="s">
        <v>112</v>
      </c>
      <c r="C15" s="256"/>
      <c r="D15" s="256"/>
      <c r="E15" s="256"/>
      <c r="F15" s="256"/>
      <c r="G15" s="256"/>
      <c r="H15" s="256"/>
      <c r="I15" s="254"/>
      <c r="J15" s="19"/>
      <c r="K15" s="18"/>
    </row>
    <row r="16" spans="1:11" ht="12.75" customHeight="1">
      <c r="A16" s="40" t="s">
        <v>125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242"/>
      <c r="B17" s="242"/>
      <c r="C17" s="242"/>
      <c r="D17" s="242"/>
      <c r="E17" s="242"/>
      <c r="F17" s="242"/>
      <c r="G17" s="242"/>
      <c r="H17" s="242"/>
      <c r="I17" s="242"/>
      <c r="J17" s="19"/>
      <c r="K17" s="18"/>
    </row>
    <row r="18" spans="1:11" ht="11.9" customHeight="1">
      <c r="A18" s="32"/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/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/>
      <c r="B20" s="19"/>
      <c r="C20" s="18"/>
      <c r="D20" s="19"/>
      <c r="E20" s="18"/>
      <c r="F20" s="19"/>
      <c r="G20" s="18"/>
      <c r="H20" s="19"/>
      <c r="I20" s="18"/>
      <c r="J20" s="19"/>
      <c r="K20" s="18"/>
    </row>
  </sheetData>
  <mergeCells count="16">
    <mergeCell ref="J4:J5"/>
    <mergeCell ref="J12:K12"/>
    <mergeCell ref="A4:A5"/>
    <mergeCell ref="H12:I12"/>
    <mergeCell ref="B4:B5"/>
    <mergeCell ref="F12:G12"/>
    <mergeCell ref="D12:E12"/>
    <mergeCell ref="B12:C12"/>
    <mergeCell ref="D4:D5"/>
    <mergeCell ref="F4:F5"/>
    <mergeCell ref="H4:H5"/>
    <mergeCell ref="A17:I17"/>
    <mergeCell ref="A14:A15"/>
    <mergeCell ref="B14:H14"/>
    <mergeCell ref="I14:I15"/>
    <mergeCell ref="B15:H15"/>
  </mergeCells>
  <phoneticPr fontId="2"/>
  <pageMargins left="0.75" right="0.75" top="1" bottom="1" header="0.51200000000000001" footer="0.51200000000000001"/>
  <pageSetup paperSize="9" scale="82" orientation="landscape" horizontalDpi="300" verticalDpi="300" r:id="rId1"/>
  <headerFooter alignWithMargins="0"/>
  <ignoredErrors>
    <ignoredError sqref="J4:J5 B4 D4 F4 H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35E7-AFE5-4A57-9E63-8FCA21EBE86E}">
  <sheetPr codeName="Sheet4">
    <tabColor rgb="FFFFC000"/>
    <pageSetUpPr fitToPage="1"/>
  </sheetPr>
  <dimension ref="A1:L26"/>
  <sheetViews>
    <sheetView view="pageBreakPreview" zoomScaleNormal="100" zoomScaleSheetLayoutView="100" workbookViewId="0"/>
  </sheetViews>
  <sheetFormatPr defaultColWidth="9" defaultRowHeight="11"/>
  <cols>
    <col min="1" max="1" width="28.26953125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276</v>
      </c>
    </row>
    <row r="3" spans="1:12" ht="11.5" thickBot="1">
      <c r="K3" s="3" t="s">
        <v>79</v>
      </c>
    </row>
    <row r="4" spans="1:12" ht="12" customHeight="1" thickBot="1">
      <c r="A4" s="236" t="s">
        <v>126</v>
      </c>
      <c r="B4" s="240" t="s">
        <v>325</v>
      </c>
      <c r="C4" s="180"/>
      <c r="D4" s="240" t="s">
        <v>257</v>
      </c>
      <c r="E4" s="180"/>
      <c r="F4" s="240" t="s">
        <v>311</v>
      </c>
      <c r="G4" s="180"/>
      <c r="H4" s="240" t="s">
        <v>326</v>
      </c>
      <c r="I4" s="180"/>
      <c r="J4" s="240" t="s">
        <v>322</v>
      </c>
      <c r="K4" s="180"/>
    </row>
    <row r="5" spans="1:12" ht="25" customHeight="1" thickBot="1">
      <c r="A5" s="237"/>
      <c r="B5" s="241"/>
      <c r="C5" s="4" t="s">
        <v>62</v>
      </c>
      <c r="D5" s="241"/>
      <c r="E5" s="4" t="s">
        <v>62</v>
      </c>
      <c r="F5" s="241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127</v>
      </c>
      <c r="B6" s="26">
        <v>835464.4</v>
      </c>
      <c r="C6" s="48">
        <v>100</v>
      </c>
      <c r="D6" s="26">
        <v>641254.36</v>
      </c>
      <c r="E6" s="48">
        <v>100</v>
      </c>
      <c r="F6" s="26">
        <v>484502.28</v>
      </c>
      <c r="G6" s="48">
        <v>100</v>
      </c>
      <c r="H6" s="26">
        <v>1125451.95</v>
      </c>
      <c r="I6" s="48">
        <v>100</v>
      </c>
      <c r="J6" s="26">
        <v>929448.69</v>
      </c>
      <c r="K6" s="48">
        <v>100</v>
      </c>
      <c r="L6" s="231"/>
    </row>
    <row r="7" spans="1:12" ht="24" customHeight="1">
      <c r="A7" s="8" t="s">
        <v>128</v>
      </c>
      <c r="B7" s="29">
        <v>-33099.089999999997</v>
      </c>
      <c r="C7" s="49">
        <v>-4</v>
      </c>
      <c r="D7" s="29">
        <v>-42493.91</v>
      </c>
      <c r="E7" s="49">
        <v>-6.6</v>
      </c>
      <c r="F7" s="29">
        <v>-371930.58</v>
      </c>
      <c r="G7" s="49">
        <v>-76.8</v>
      </c>
      <c r="H7" s="29">
        <v>116159.56</v>
      </c>
      <c r="I7" s="49">
        <v>10.3</v>
      </c>
      <c r="J7" s="29">
        <v>173645.49</v>
      </c>
      <c r="K7" s="49">
        <v>18.6826332500398</v>
      </c>
      <c r="L7" s="231"/>
    </row>
    <row r="8" spans="1:12" ht="24" customHeight="1">
      <c r="A8" s="8" t="s">
        <v>129</v>
      </c>
      <c r="B8" s="29">
        <v>-69929.039999999994</v>
      </c>
      <c r="C8" s="49">
        <v>-8.4</v>
      </c>
      <c r="D8" s="29">
        <v>-78574.149999999994</v>
      </c>
      <c r="E8" s="49">
        <v>-12.2</v>
      </c>
      <c r="F8" s="29">
        <v>-566129.41</v>
      </c>
      <c r="G8" s="49">
        <v>-116.8</v>
      </c>
      <c r="H8" s="29">
        <v>-37614.699999999997</v>
      </c>
      <c r="I8" s="49">
        <v>-3.3</v>
      </c>
      <c r="J8" s="29">
        <v>15461.23</v>
      </c>
      <c r="K8" s="49">
        <v>1.6634839734939999</v>
      </c>
      <c r="L8" s="231"/>
    </row>
    <row r="9" spans="1:12" ht="24" customHeight="1">
      <c r="A9" s="8" t="s">
        <v>130</v>
      </c>
      <c r="B9" s="29">
        <v>3735.85</v>
      </c>
      <c r="C9" s="49">
        <v>0.4</v>
      </c>
      <c r="D9" s="29">
        <v>1811.28</v>
      </c>
      <c r="E9" s="49">
        <v>0.3</v>
      </c>
      <c r="F9" s="29">
        <v>94771.67</v>
      </c>
      <c r="G9" s="49">
        <v>19.5</v>
      </c>
      <c r="H9" s="29">
        <v>64364.959999999999</v>
      </c>
      <c r="I9" s="49">
        <v>5.7</v>
      </c>
      <c r="J9" s="29">
        <v>56704.41</v>
      </c>
      <c r="K9" s="49">
        <v>6.1008650192405902</v>
      </c>
      <c r="L9" s="231"/>
    </row>
    <row r="10" spans="1:12" ht="24" customHeight="1">
      <c r="A10" s="8" t="s">
        <v>131</v>
      </c>
      <c r="B10" s="29">
        <v>33094.1</v>
      </c>
      <c r="C10" s="49">
        <v>4</v>
      </c>
      <c r="D10" s="29">
        <v>34268.959999999999</v>
      </c>
      <c r="E10" s="49">
        <v>5.3</v>
      </c>
      <c r="F10" s="29">
        <v>99427.16</v>
      </c>
      <c r="G10" s="49">
        <v>20.5</v>
      </c>
      <c r="H10" s="29">
        <v>89409.3</v>
      </c>
      <c r="I10" s="49">
        <v>7.9</v>
      </c>
      <c r="J10" s="29">
        <v>101479.85</v>
      </c>
      <c r="K10" s="49">
        <v>10.918284257305199</v>
      </c>
      <c r="L10" s="231"/>
    </row>
    <row r="11" spans="1:12" ht="24" customHeight="1">
      <c r="A11" s="8" t="s">
        <v>252</v>
      </c>
      <c r="B11" s="29">
        <v>51088.61</v>
      </c>
      <c r="C11" s="49">
        <v>6.1</v>
      </c>
      <c r="D11" s="29">
        <v>4159.41</v>
      </c>
      <c r="E11" s="49">
        <v>0.6</v>
      </c>
      <c r="F11" s="29">
        <v>110295.11</v>
      </c>
      <c r="G11" s="49">
        <v>22.7</v>
      </c>
      <c r="H11" s="29">
        <v>33229.94</v>
      </c>
      <c r="I11" s="49">
        <v>2.9</v>
      </c>
      <c r="J11" s="29">
        <v>65383.13</v>
      </c>
      <c r="K11" s="49">
        <v>7.0346142507339398</v>
      </c>
      <c r="L11" s="231"/>
    </row>
    <row r="12" spans="1:12" ht="24" customHeight="1">
      <c r="A12" s="8" t="s">
        <v>253</v>
      </c>
      <c r="B12" s="29">
        <v>-17994.509999999998</v>
      </c>
      <c r="C12" s="49">
        <v>-2.1</v>
      </c>
      <c r="D12" s="29">
        <v>30109.55</v>
      </c>
      <c r="E12" s="49">
        <v>4.7</v>
      </c>
      <c r="F12" s="29">
        <v>-10867.95</v>
      </c>
      <c r="G12" s="49">
        <v>-2.2000000000000002</v>
      </c>
      <c r="H12" s="29">
        <v>56179.360000000001</v>
      </c>
      <c r="I12" s="49">
        <v>5</v>
      </c>
      <c r="J12" s="29">
        <v>36096.720000000001</v>
      </c>
      <c r="K12" s="49">
        <v>3.8836700065713101</v>
      </c>
      <c r="L12" s="231"/>
    </row>
    <row r="13" spans="1:12" ht="24" customHeight="1">
      <c r="A13" s="8" t="s">
        <v>132</v>
      </c>
      <c r="B13" s="29">
        <v>868563.49</v>
      </c>
      <c r="C13" s="49">
        <v>104</v>
      </c>
      <c r="D13" s="29">
        <v>683748.27</v>
      </c>
      <c r="E13" s="49">
        <v>106.6</v>
      </c>
      <c r="F13" s="29">
        <v>856432.86</v>
      </c>
      <c r="G13" s="49">
        <v>176.8</v>
      </c>
      <c r="H13" s="29">
        <v>1009292.39</v>
      </c>
      <c r="I13" s="49">
        <v>89.7</v>
      </c>
      <c r="J13" s="29">
        <v>755803.2</v>
      </c>
      <c r="K13" s="49">
        <v>81.317366749960101</v>
      </c>
      <c r="L13" s="231"/>
    </row>
    <row r="14" spans="1:12" ht="24" customHeight="1">
      <c r="A14" s="8" t="s">
        <v>133</v>
      </c>
      <c r="B14" s="29">
        <v>492171.33</v>
      </c>
      <c r="C14" s="49">
        <v>58.9</v>
      </c>
      <c r="D14" s="29">
        <v>286204.56</v>
      </c>
      <c r="E14" s="49">
        <v>44.6</v>
      </c>
      <c r="F14" s="29">
        <v>476085.47</v>
      </c>
      <c r="G14" s="49">
        <v>98.3</v>
      </c>
      <c r="H14" s="29">
        <v>627561.24</v>
      </c>
      <c r="I14" s="49">
        <v>55.8</v>
      </c>
      <c r="J14" s="29">
        <v>375309.7</v>
      </c>
      <c r="K14" s="49">
        <v>40.379819137729903</v>
      </c>
      <c r="L14" s="231"/>
    </row>
    <row r="15" spans="1:12" ht="24" customHeight="1" thickBot="1">
      <c r="A15" s="14" t="s">
        <v>134</v>
      </c>
      <c r="B15" s="30">
        <v>376392.16</v>
      </c>
      <c r="C15" s="50">
        <v>45.1</v>
      </c>
      <c r="D15" s="30">
        <v>397543.71</v>
      </c>
      <c r="E15" s="50">
        <v>62</v>
      </c>
      <c r="F15" s="30">
        <v>380347.39</v>
      </c>
      <c r="G15" s="50">
        <v>78.5</v>
      </c>
      <c r="H15" s="30">
        <v>381731.15</v>
      </c>
      <c r="I15" s="50">
        <v>33.9</v>
      </c>
      <c r="J15" s="30">
        <v>380493.5</v>
      </c>
      <c r="K15" s="50">
        <v>40.937547612230198</v>
      </c>
      <c r="L15" s="231"/>
    </row>
    <row r="16" spans="1:12" ht="11.9" customHeight="1">
      <c r="A16" s="32"/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32" t="s">
        <v>135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</row>
    <row r="18" spans="1:11" ht="11.9" customHeight="1">
      <c r="A18" s="32" t="s">
        <v>136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 t="s">
        <v>137</v>
      </c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 t="s">
        <v>138</v>
      </c>
      <c r="B20" s="19"/>
      <c r="C20" s="18"/>
      <c r="D20" s="19"/>
      <c r="E20" s="18"/>
      <c r="F20" s="19"/>
      <c r="G20" s="18"/>
      <c r="H20" s="19"/>
      <c r="I20" s="18"/>
      <c r="J20" s="19"/>
      <c r="K20" s="18"/>
    </row>
    <row r="21" spans="1:11" ht="11.9" customHeight="1">
      <c r="A21" s="32" t="s">
        <v>139</v>
      </c>
      <c r="B21" s="19"/>
      <c r="C21" s="18"/>
      <c r="D21" s="19"/>
      <c r="E21" s="18"/>
      <c r="F21" s="19"/>
      <c r="G21" s="18"/>
      <c r="H21" s="19"/>
      <c r="I21" s="18"/>
      <c r="J21" s="19"/>
      <c r="K21" s="18"/>
    </row>
    <row r="22" spans="1:11" ht="11.9" customHeight="1">
      <c r="A22" s="32" t="s">
        <v>140</v>
      </c>
      <c r="B22" s="19"/>
      <c r="C22" s="18"/>
      <c r="D22" s="19"/>
      <c r="E22" s="18"/>
      <c r="F22" s="19"/>
      <c r="G22" s="18"/>
      <c r="H22" s="19"/>
      <c r="I22" s="18"/>
      <c r="J22" s="19"/>
      <c r="K22" s="18"/>
    </row>
    <row r="23" spans="1:11" ht="11.9" customHeight="1">
      <c r="A23" s="32" t="s">
        <v>141</v>
      </c>
      <c r="B23" s="19"/>
      <c r="C23" s="18"/>
      <c r="D23" s="19"/>
      <c r="E23" s="18"/>
      <c r="F23" s="19"/>
      <c r="G23" s="18"/>
      <c r="H23" s="19"/>
      <c r="I23" s="18"/>
      <c r="J23" s="19"/>
      <c r="K23" s="18"/>
    </row>
    <row r="24" spans="1:11" ht="11.9" customHeight="1">
      <c r="A24" s="32" t="s">
        <v>142</v>
      </c>
      <c r="B24" s="19"/>
      <c r="C24" s="18"/>
      <c r="D24" s="19"/>
      <c r="E24" s="18"/>
      <c r="F24" s="19"/>
      <c r="G24" s="18"/>
      <c r="H24" s="19"/>
      <c r="I24" s="18"/>
      <c r="J24" s="19"/>
      <c r="K24" s="18"/>
    </row>
    <row r="25" spans="1:11">
      <c r="A25" s="45"/>
    </row>
    <row r="26" spans="1:11">
      <c r="A26" s="21"/>
    </row>
  </sheetData>
  <mergeCells count="6">
    <mergeCell ref="H4:H5"/>
    <mergeCell ref="J4:J5"/>
    <mergeCell ref="A4:A5"/>
    <mergeCell ref="D4:D5"/>
    <mergeCell ref="B4:B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B4:J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18FF-2E9C-4F42-9E6E-70BB18CC9D0E}">
  <sheetPr codeName="Sheet5">
    <tabColor rgb="FFFFC000"/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7265625" style="2" customWidth="1"/>
    <col min="2" max="6" width="17.7265625" style="2" customWidth="1"/>
    <col min="7" max="73" width="10.26953125" style="2" customWidth="1"/>
    <col min="74" max="16384" width="9" style="2"/>
  </cols>
  <sheetData>
    <row r="1" spans="1:6" ht="19">
      <c r="C1" s="1" t="s">
        <v>277</v>
      </c>
    </row>
    <row r="3" spans="1:6" ht="11.5" thickBot="1">
      <c r="F3" s="3" t="s">
        <v>143</v>
      </c>
    </row>
    <row r="4" spans="1:6" ht="12" customHeight="1">
      <c r="A4" s="247" t="s">
        <v>30</v>
      </c>
      <c r="B4" s="263" t="s">
        <v>256</v>
      </c>
      <c r="C4" s="263" t="s">
        <v>310</v>
      </c>
      <c r="D4" s="263" t="s">
        <v>320</v>
      </c>
      <c r="E4" s="263" t="s">
        <v>321</v>
      </c>
      <c r="F4" s="263" t="s">
        <v>322</v>
      </c>
    </row>
    <row r="5" spans="1:6" ht="12" customHeight="1" thickBot="1">
      <c r="A5" s="271"/>
      <c r="B5" s="264"/>
      <c r="C5" s="264"/>
      <c r="D5" s="264"/>
      <c r="E5" s="264"/>
      <c r="F5" s="264"/>
    </row>
    <row r="6" spans="1:6" ht="24" customHeight="1">
      <c r="A6" s="5" t="s">
        <v>31</v>
      </c>
      <c r="B6" s="51">
        <v>38.910490000000003</v>
      </c>
      <c r="C6" s="51">
        <v>39.941445000000002</v>
      </c>
      <c r="D6" s="51">
        <v>40.574711000000001</v>
      </c>
      <c r="E6" s="51">
        <v>41.679862</v>
      </c>
      <c r="F6" s="51">
        <v>41.996273000000002</v>
      </c>
    </row>
    <row r="7" spans="1:6" ht="24" customHeight="1">
      <c r="A7" s="8" t="s">
        <v>144</v>
      </c>
      <c r="B7" s="52">
        <v>45.296709999999997</v>
      </c>
      <c r="C7" s="52">
        <v>46.350675000000003</v>
      </c>
      <c r="D7" s="52">
        <v>47.648733999999997</v>
      </c>
      <c r="E7" s="52">
        <v>48.636980000000001</v>
      </c>
      <c r="F7" s="52">
        <v>49.906970999999999</v>
      </c>
    </row>
    <row r="8" spans="1:6" ht="24" customHeight="1" thickBot="1">
      <c r="A8" s="14" t="s">
        <v>145</v>
      </c>
      <c r="B8" s="53">
        <v>36.422154999999997</v>
      </c>
      <c r="C8" s="53">
        <v>37.48509</v>
      </c>
      <c r="D8" s="53">
        <v>37.910164000000002</v>
      </c>
      <c r="E8" s="53">
        <v>39.132860000000001</v>
      </c>
      <c r="F8" s="53">
        <v>39.071392000000003</v>
      </c>
    </row>
    <row r="9" spans="1:6" ht="24" customHeight="1">
      <c r="A9" s="8" t="s">
        <v>48</v>
      </c>
      <c r="B9" s="52"/>
      <c r="C9" s="52"/>
      <c r="D9" s="52"/>
      <c r="E9" s="52"/>
      <c r="F9" s="52"/>
    </row>
    <row r="10" spans="1:6" ht="24" customHeight="1">
      <c r="A10" s="8" t="s">
        <v>146</v>
      </c>
      <c r="B10" s="52">
        <v>44.592390999999999</v>
      </c>
      <c r="C10" s="52">
        <v>45.000321</v>
      </c>
      <c r="D10" s="52">
        <v>44.805506000000001</v>
      </c>
      <c r="E10" s="52">
        <v>45.196081</v>
      </c>
      <c r="F10" s="52">
        <v>45.452565</v>
      </c>
    </row>
    <row r="11" spans="1:6" ht="24" customHeight="1">
      <c r="A11" s="8" t="s">
        <v>147</v>
      </c>
      <c r="B11" s="52">
        <v>38.111533000000001</v>
      </c>
      <c r="C11" s="52">
        <v>39.204424000000003</v>
      </c>
      <c r="D11" s="52">
        <v>39.883839000000002</v>
      </c>
      <c r="E11" s="52">
        <v>40.161040999999997</v>
      </c>
      <c r="F11" s="52">
        <v>42.000853999999997</v>
      </c>
    </row>
    <row r="12" spans="1:6" ht="24" customHeight="1">
      <c r="A12" s="8" t="s">
        <v>51</v>
      </c>
      <c r="B12" s="52">
        <v>34.967529999999996</v>
      </c>
      <c r="C12" s="52">
        <v>37.900480999999999</v>
      </c>
      <c r="D12" s="52">
        <v>38.311162000000003</v>
      </c>
      <c r="E12" s="52">
        <v>41.041792000000001</v>
      </c>
      <c r="F12" s="52">
        <v>41.223004000000003</v>
      </c>
    </row>
    <row r="13" spans="1:6" ht="24" customHeight="1" thickBot="1">
      <c r="A13" s="14" t="s">
        <v>52</v>
      </c>
      <c r="B13" s="52">
        <v>17.042062999999999</v>
      </c>
      <c r="C13" s="52">
        <v>13.936636999999999</v>
      </c>
      <c r="D13" s="52">
        <v>19.077767999999999</v>
      </c>
      <c r="E13" s="52">
        <v>20.489052999999998</v>
      </c>
      <c r="F13" s="52">
        <v>19.264986</v>
      </c>
    </row>
    <row r="14" spans="1:6" ht="11.9" customHeight="1">
      <c r="B14" s="186"/>
      <c r="C14" s="186"/>
      <c r="D14" s="186"/>
      <c r="E14" s="186"/>
      <c r="F14" s="186"/>
    </row>
    <row r="15" spans="1:6" ht="16.5" customHeight="1">
      <c r="A15" s="265" t="s">
        <v>295</v>
      </c>
      <c r="B15" s="266" t="s">
        <v>148</v>
      </c>
      <c r="C15" s="266"/>
      <c r="D15" s="266"/>
      <c r="E15" s="265" t="s">
        <v>75</v>
      </c>
    </row>
    <row r="16" spans="1:6" ht="16.5" customHeight="1">
      <c r="A16" s="265"/>
      <c r="B16" s="272" t="s">
        <v>149</v>
      </c>
      <c r="C16" s="272"/>
      <c r="D16" s="272"/>
      <c r="E16" s="265"/>
    </row>
    <row r="17" spans="1:1" ht="16.5" customHeight="1">
      <c r="A17" s="47" t="s">
        <v>150</v>
      </c>
    </row>
    <row r="18" spans="1:1">
      <c r="A18" s="32"/>
    </row>
    <row r="19" spans="1:1">
      <c r="A19" s="21"/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ageMargins left="0.75" right="0.75" top="1" bottom="1" header="0.51200000000000001" footer="0.51200000000000001"/>
  <pageSetup paperSize="9" orientation="landscape" horizontalDpi="300" verticalDpi="300" r:id="rId1"/>
  <headerFooter alignWithMargins="0"/>
  <ignoredErrors>
    <ignoredError sqref="B4:E5 F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5481-EBCE-4A25-B0F1-173A2B84AAF7}">
  <sheetPr>
    <tabColor rgb="FFFFC000"/>
    <pageSetUpPr fitToPage="1"/>
  </sheetPr>
  <dimension ref="A1:AC32"/>
  <sheetViews>
    <sheetView view="pageBreakPreview" zoomScaleNormal="100" zoomScaleSheetLayoutView="100" workbookViewId="0">
      <selection sqref="A1:AB1"/>
    </sheetView>
  </sheetViews>
  <sheetFormatPr defaultColWidth="8" defaultRowHeight="9.5"/>
  <cols>
    <col min="1" max="7" width="0.6328125" style="43" customWidth="1"/>
    <col min="8" max="8" width="1.6328125" style="43" customWidth="1"/>
    <col min="9" max="12" width="0.6328125" style="43" customWidth="1"/>
    <col min="13" max="13" width="25.6328125" style="43" customWidth="1"/>
    <col min="14" max="14" width="0.6328125" style="43" customWidth="1"/>
    <col min="15" max="15" width="12.6328125" style="43" customWidth="1"/>
    <col min="16" max="16" width="10.6328125" style="43" customWidth="1"/>
    <col min="17" max="17" width="12.6328125" style="43" customWidth="1"/>
    <col min="18" max="18" width="10.6328125" style="43" customWidth="1"/>
    <col min="19" max="19" width="12.6328125" style="43" customWidth="1"/>
    <col min="20" max="20" width="10.6328125" style="43" customWidth="1"/>
    <col min="21" max="21" width="12.6328125" style="43" customWidth="1"/>
    <col min="22" max="22" width="10.6328125" style="43" customWidth="1"/>
    <col min="23" max="23" width="12.6328125" style="43" customWidth="1"/>
    <col min="24" max="24" width="10.6328125" style="43" customWidth="1"/>
    <col min="25" max="25" width="0.26953125" style="43" customWidth="1"/>
    <col min="26" max="26" width="10.6328125" style="43" hidden="1" customWidth="1"/>
    <col min="27" max="27" width="12.6328125" style="43" hidden="1" customWidth="1"/>
    <col min="28" max="28" width="10.6328125" style="43" hidden="1" customWidth="1"/>
    <col min="29" max="77" width="9" style="43" customWidth="1"/>
    <col min="78" max="16384" width="8" style="43"/>
  </cols>
  <sheetData>
    <row r="1" spans="1:28" ht="24.75" customHeight="1">
      <c r="A1" s="287" t="s">
        <v>278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</row>
    <row r="2" spans="1:28" ht="12.75" customHeight="1" thickBot="1">
      <c r="T2" s="54"/>
      <c r="U2" s="54"/>
      <c r="V2" s="54"/>
      <c r="W2" s="286" t="s">
        <v>3</v>
      </c>
      <c r="X2" s="286"/>
    </row>
    <row r="3" spans="1:28" ht="11.15" customHeight="1" thickBot="1">
      <c r="A3" s="288" t="s">
        <v>30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90"/>
      <c r="O3" s="283" t="s">
        <v>327</v>
      </c>
      <c r="P3" s="55"/>
      <c r="Q3" s="283" t="s">
        <v>257</v>
      </c>
      <c r="R3" s="55"/>
      <c r="S3" s="283" t="s">
        <v>311</v>
      </c>
      <c r="T3" s="55"/>
      <c r="U3" s="283" t="s">
        <v>319</v>
      </c>
      <c r="V3" s="55"/>
      <c r="W3" s="283" t="s">
        <v>322</v>
      </c>
      <c r="X3" s="55"/>
    </row>
    <row r="4" spans="1:28" ht="11.15" customHeight="1">
      <c r="A4" s="291"/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3"/>
      <c r="O4" s="284"/>
      <c r="P4" s="280" t="s">
        <v>151</v>
      </c>
      <c r="Q4" s="284"/>
      <c r="R4" s="280" t="s">
        <v>151</v>
      </c>
      <c r="S4" s="284"/>
      <c r="T4" s="280" t="s">
        <v>151</v>
      </c>
      <c r="U4" s="284"/>
      <c r="V4" s="280" t="s">
        <v>151</v>
      </c>
      <c r="W4" s="284"/>
      <c r="X4" s="280" t="s">
        <v>151</v>
      </c>
    </row>
    <row r="5" spans="1:28" ht="11.15" customHeight="1" thickBot="1">
      <c r="A5" s="294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6"/>
      <c r="O5" s="285"/>
      <c r="P5" s="297"/>
      <c r="Q5" s="285"/>
      <c r="R5" s="297"/>
      <c r="S5" s="285"/>
      <c r="T5" s="297"/>
      <c r="U5" s="285"/>
      <c r="V5" s="281"/>
      <c r="W5" s="285"/>
      <c r="X5" s="281"/>
    </row>
    <row r="6" spans="1:28" ht="30" customHeight="1">
      <c r="A6" s="56"/>
      <c r="B6" s="282" t="s">
        <v>152</v>
      </c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57"/>
      <c r="O6" s="58">
        <v>785793.57</v>
      </c>
      <c r="P6" s="59">
        <v>8.0455520000000007</v>
      </c>
      <c r="Q6" s="58">
        <v>808962.65</v>
      </c>
      <c r="R6" s="59">
        <v>2.9484940000000002</v>
      </c>
      <c r="S6" s="58">
        <v>866016.29</v>
      </c>
      <c r="T6" s="59">
        <v>7.0526910000000003</v>
      </c>
      <c r="U6" s="58">
        <v>962764.08</v>
      </c>
      <c r="V6" s="59">
        <v>11.17159</v>
      </c>
      <c r="W6" s="58">
        <v>952294.77</v>
      </c>
      <c r="X6" s="59">
        <v>-1.0874220000000001</v>
      </c>
    </row>
    <row r="7" spans="1:28" ht="15.65" customHeight="1">
      <c r="A7" s="56"/>
      <c r="B7" s="60"/>
      <c r="C7" s="60"/>
      <c r="D7" s="274" t="s">
        <v>153</v>
      </c>
      <c r="E7" s="274"/>
      <c r="F7" s="274"/>
      <c r="G7" s="274"/>
      <c r="H7" s="274"/>
      <c r="I7" s="274"/>
      <c r="J7" s="274"/>
      <c r="K7" s="274"/>
      <c r="L7" s="274"/>
      <c r="M7" s="274"/>
      <c r="N7" s="57"/>
      <c r="O7" s="58">
        <v>139932.66</v>
      </c>
      <c r="P7" s="59">
        <v>6.9013749999999998</v>
      </c>
      <c r="Q7" s="58">
        <v>126761.81</v>
      </c>
      <c r="R7" s="59">
        <v>-9.4122769999999996</v>
      </c>
      <c r="S7" s="58">
        <v>116144.11</v>
      </c>
      <c r="T7" s="59">
        <v>-8.3761030000000005</v>
      </c>
      <c r="U7" s="58">
        <v>127221.13</v>
      </c>
      <c r="V7" s="59">
        <v>9.5373070000000002</v>
      </c>
      <c r="W7" s="58">
        <v>113118.12</v>
      </c>
      <c r="X7" s="59">
        <v>-11.085431</v>
      </c>
    </row>
    <row r="8" spans="1:28" ht="15.65" customHeight="1">
      <c r="A8" s="56"/>
      <c r="B8" s="60"/>
      <c r="C8" s="60"/>
      <c r="D8" s="60"/>
      <c r="E8" s="60"/>
      <c r="F8" s="277" t="s">
        <v>154</v>
      </c>
      <c r="G8" s="277"/>
      <c r="H8" s="277"/>
      <c r="I8" s="277"/>
      <c r="J8" s="277"/>
      <c r="K8" s="277"/>
      <c r="L8" s="277"/>
      <c r="M8" s="277"/>
      <c r="N8" s="57"/>
      <c r="O8" s="58">
        <v>73905.460000000006</v>
      </c>
      <c r="P8" s="59">
        <v>7.1806140000000003</v>
      </c>
      <c r="Q8" s="58">
        <v>67877.039999999994</v>
      </c>
      <c r="R8" s="59">
        <v>-8.1569350000000007</v>
      </c>
      <c r="S8" s="58">
        <v>56014.76</v>
      </c>
      <c r="T8" s="59">
        <v>-17.476130000000001</v>
      </c>
      <c r="U8" s="58">
        <v>57404.06</v>
      </c>
      <c r="V8" s="59">
        <v>2.4802390000000001</v>
      </c>
      <c r="W8" s="58">
        <v>47476.07</v>
      </c>
      <c r="X8" s="59">
        <v>-17.294927000000001</v>
      </c>
    </row>
    <row r="9" spans="1:28" ht="15.65" customHeight="1">
      <c r="A9" s="56"/>
      <c r="B9" s="60"/>
      <c r="C9" s="60"/>
      <c r="D9" s="60"/>
      <c r="E9" s="60"/>
      <c r="F9" s="277" t="s">
        <v>155</v>
      </c>
      <c r="G9" s="277"/>
      <c r="H9" s="277"/>
      <c r="I9" s="277"/>
      <c r="J9" s="277"/>
      <c r="K9" s="277"/>
      <c r="L9" s="277"/>
      <c r="M9" s="277"/>
      <c r="N9" s="57"/>
      <c r="O9" s="58">
        <v>8115.18</v>
      </c>
      <c r="P9" s="59">
        <v>-10.233984</v>
      </c>
      <c r="Q9" s="58">
        <v>8687.4500000000007</v>
      </c>
      <c r="R9" s="59">
        <v>7.0518460000000003</v>
      </c>
      <c r="S9" s="58">
        <v>7584.36</v>
      </c>
      <c r="T9" s="59">
        <v>-12.697512</v>
      </c>
      <c r="U9" s="58">
        <v>10687.39</v>
      </c>
      <c r="V9" s="59">
        <v>40.913538000000003</v>
      </c>
      <c r="W9" s="58">
        <v>11859.58</v>
      </c>
      <c r="X9" s="59">
        <v>10.967973000000001</v>
      </c>
    </row>
    <row r="10" spans="1:28" ht="15.65" customHeight="1">
      <c r="A10" s="56"/>
      <c r="B10" s="60"/>
      <c r="C10" s="60"/>
      <c r="D10" s="60"/>
      <c r="E10" s="60"/>
      <c r="F10" s="277" t="s">
        <v>156</v>
      </c>
      <c r="G10" s="277"/>
      <c r="H10" s="277"/>
      <c r="I10" s="277"/>
      <c r="J10" s="277"/>
      <c r="K10" s="277"/>
      <c r="L10" s="277"/>
      <c r="M10" s="277"/>
      <c r="N10" s="57"/>
      <c r="O10" s="58">
        <v>10546.65</v>
      </c>
      <c r="P10" s="59">
        <v>-11.306877</v>
      </c>
      <c r="Q10" s="58">
        <v>8696.25</v>
      </c>
      <c r="R10" s="59">
        <v>-17.544908</v>
      </c>
      <c r="S10" s="58">
        <v>6993.1</v>
      </c>
      <c r="T10" s="59">
        <v>-19.584879000000001</v>
      </c>
      <c r="U10" s="58">
        <v>7125.38</v>
      </c>
      <c r="V10" s="59">
        <v>1.8915789999999999</v>
      </c>
      <c r="W10" s="58">
        <v>3982.04</v>
      </c>
      <c r="X10" s="59">
        <v>-44.114699999999999</v>
      </c>
    </row>
    <row r="11" spans="1:28" ht="15.65" customHeight="1">
      <c r="A11" s="56"/>
      <c r="B11" s="60"/>
      <c r="C11" s="60"/>
      <c r="D11" s="60"/>
      <c r="E11" s="60"/>
      <c r="F11" s="277" t="s">
        <v>157</v>
      </c>
      <c r="G11" s="277"/>
      <c r="H11" s="277"/>
      <c r="I11" s="277"/>
      <c r="J11" s="277"/>
      <c r="K11" s="277"/>
      <c r="L11" s="277"/>
      <c r="M11" s="277"/>
      <c r="N11" s="57"/>
      <c r="O11" s="58">
        <v>7963.45</v>
      </c>
      <c r="P11" s="59">
        <v>6.5987640000000001</v>
      </c>
      <c r="Q11" s="58">
        <v>6530.81</v>
      </c>
      <c r="R11" s="59">
        <v>-17.990193000000001</v>
      </c>
      <c r="S11" s="58">
        <v>10499.54</v>
      </c>
      <c r="T11" s="59">
        <v>60.769337999999998</v>
      </c>
      <c r="U11" s="58">
        <v>15080.14</v>
      </c>
      <c r="V11" s="59">
        <v>43.626672999999997</v>
      </c>
      <c r="W11" s="58">
        <v>11144.18</v>
      </c>
      <c r="X11" s="59">
        <v>-26.100287999999999</v>
      </c>
    </row>
    <row r="12" spans="1:28" ht="15.65" customHeight="1">
      <c r="A12" s="56"/>
      <c r="B12" s="60"/>
      <c r="C12" s="60"/>
      <c r="D12" s="60"/>
      <c r="E12" s="60"/>
      <c r="F12" s="277" t="s">
        <v>158</v>
      </c>
      <c r="G12" s="277"/>
      <c r="H12" s="277"/>
      <c r="I12" s="277"/>
      <c r="J12" s="277"/>
      <c r="K12" s="277"/>
      <c r="L12" s="277"/>
      <c r="M12" s="277"/>
      <c r="N12" s="57"/>
      <c r="O12" s="58">
        <v>30478.03</v>
      </c>
      <c r="P12" s="59">
        <v>9.3188899999999997</v>
      </c>
      <c r="Q12" s="58">
        <v>25206.720000000001</v>
      </c>
      <c r="R12" s="59">
        <v>-17.295442000000001</v>
      </c>
      <c r="S12" s="58">
        <v>24236.86</v>
      </c>
      <c r="T12" s="59">
        <v>-3.8476249999999999</v>
      </c>
      <c r="U12" s="58">
        <v>26452.54</v>
      </c>
      <c r="V12" s="59">
        <v>9.1417780000000004</v>
      </c>
      <c r="W12" s="58">
        <v>27135.25</v>
      </c>
      <c r="X12" s="59">
        <v>2.580886</v>
      </c>
    </row>
    <row r="13" spans="1:28" ht="15.65" customHeight="1">
      <c r="A13" s="56"/>
      <c r="B13" s="60"/>
      <c r="C13" s="60"/>
      <c r="D13" s="60"/>
      <c r="E13" s="60"/>
      <c r="F13" s="277" t="s">
        <v>159</v>
      </c>
      <c r="G13" s="277"/>
      <c r="H13" s="277"/>
      <c r="I13" s="277"/>
      <c r="J13" s="277"/>
      <c r="K13" s="277"/>
      <c r="L13" s="277"/>
      <c r="M13" s="277"/>
      <c r="N13" s="57"/>
      <c r="O13" s="58">
        <v>7079.93</v>
      </c>
      <c r="P13" s="59">
        <v>68.616733999999994</v>
      </c>
      <c r="Q13" s="58">
        <v>7954.99</v>
      </c>
      <c r="R13" s="59">
        <v>12.359726999999999</v>
      </c>
      <c r="S13" s="58">
        <v>8636.8799999999992</v>
      </c>
      <c r="T13" s="59">
        <v>8.5718519999999998</v>
      </c>
      <c r="U13" s="58">
        <v>8197.3700000000008</v>
      </c>
      <c r="V13" s="59">
        <v>-5.0887589999999996</v>
      </c>
      <c r="W13" s="58">
        <v>8774.76</v>
      </c>
      <c r="X13" s="59">
        <v>7.0436009999999998</v>
      </c>
    </row>
    <row r="14" spans="1:28" ht="15.65" customHeight="1" thickBot="1">
      <c r="A14" s="56"/>
      <c r="B14" s="60"/>
      <c r="C14" s="60"/>
      <c r="D14" s="60"/>
      <c r="E14" s="60"/>
      <c r="F14" s="277" t="s">
        <v>160</v>
      </c>
      <c r="G14" s="277"/>
      <c r="H14" s="277"/>
      <c r="I14" s="277"/>
      <c r="J14" s="277"/>
      <c r="K14" s="277"/>
      <c r="L14" s="277"/>
      <c r="M14" s="277"/>
      <c r="N14" s="57"/>
      <c r="O14" s="58">
        <v>1843.96</v>
      </c>
      <c r="P14" s="59">
        <v>25.960435</v>
      </c>
      <c r="Q14" s="58">
        <v>1808.55</v>
      </c>
      <c r="R14" s="59">
        <v>-1.9203239999999999</v>
      </c>
      <c r="S14" s="58">
        <v>2178.61</v>
      </c>
      <c r="T14" s="59">
        <v>20.461696</v>
      </c>
      <c r="U14" s="58">
        <v>2274.25</v>
      </c>
      <c r="V14" s="59">
        <v>4.3899549999999996</v>
      </c>
      <c r="W14" s="58">
        <v>2746.24</v>
      </c>
      <c r="X14" s="59">
        <v>20.753654999999998</v>
      </c>
    </row>
    <row r="15" spans="1:28" ht="31.5" customHeight="1">
      <c r="A15" s="61"/>
      <c r="B15" s="278" t="s">
        <v>161</v>
      </c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62"/>
      <c r="O15" s="63"/>
      <c r="P15" s="64"/>
      <c r="Q15" s="63"/>
      <c r="R15" s="64"/>
      <c r="S15" s="63"/>
      <c r="T15" s="64"/>
      <c r="U15" s="63"/>
      <c r="V15" s="64"/>
      <c r="W15" s="63"/>
      <c r="X15" s="64"/>
    </row>
    <row r="16" spans="1:28" ht="26.15" customHeight="1">
      <c r="A16" s="65"/>
      <c r="B16" s="66"/>
      <c r="C16" s="66"/>
      <c r="D16" s="274" t="s">
        <v>162</v>
      </c>
      <c r="E16" s="274"/>
      <c r="F16" s="274"/>
      <c r="G16" s="274"/>
      <c r="H16" s="274"/>
      <c r="I16" s="274"/>
      <c r="J16" s="274"/>
      <c r="K16" s="274"/>
      <c r="L16" s="274"/>
      <c r="M16" s="274"/>
      <c r="N16" s="57"/>
      <c r="O16" s="58"/>
      <c r="P16" s="59"/>
      <c r="Q16" s="58"/>
      <c r="R16" s="59"/>
      <c r="S16" s="58"/>
      <c r="T16" s="59"/>
      <c r="U16" s="58"/>
      <c r="V16" s="59"/>
      <c r="W16" s="58"/>
      <c r="X16" s="59"/>
    </row>
    <row r="17" spans="1:29" ht="26.15" customHeight="1">
      <c r="A17" s="65"/>
      <c r="B17" s="66"/>
      <c r="C17" s="66"/>
      <c r="D17" s="66"/>
      <c r="E17" s="66"/>
      <c r="F17" s="274" t="s">
        <v>0</v>
      </c>
      <c r="G17" s="274"/>
      <c r="H17" s="274"/>
      <c r="I17" s="274"/>
      <c r="J17" s="274"/>
      <c r="K17" s="274"/>
      <c r="L17" s="274"/>
      <c r="M17" s="274"/>
      <c r="N17" s="57"/>
      <c r="O17" s="58">
        <v>502897.67</v>
      </c>
      <c r="P17" s="59">
        <v>7.5431600000000003</v>
      </c>
      <c r="Q17" s="58">
        <v>517469.44</v>
      </c>
      <c r="R17" s="59">
        <v>2.8975620000000002</v>
      </c>
      <c r="S17" s="58">
        <v>527619.07999999996</v>
      </c>
      <c r="T17" s="59">
        <v>1.9613989999999999</v>
      </c>
      <c r="U17" s="58">
        <v>575595.06000000006</v>
      </c>
      <c r="V17" s="59">
        <v>9.0929199999999994</v>
      </c>
      <c r="W17" s="58">
        <v>580407.06000000006</v>
      </c>
      <c r="X17" s="59">
        <v>0.83600399999999997</v>
      </c>
    </row>
    <row r="18" spans="1:29" ht="26.15" customHeight="1">
      <c r="A18" s="65"/>
      <c r="B18" s="66"/>
      <c r="C18" s="66"/>
      <c r="D18" s="66"/>
      <c r="E18" s="66"/>
      <c r="F18" s="274" t="s">
        <v>163</v>
      </c>
      <c r="G18" s="274"/>
      <c r="H18" s="274"/>
      <c r="I18" s="274"/>
      <c r="J18" s="274"/>
      <c r="K18" s="274"/>
      <c r="L18" s="274"/>
      <c r="M18" s="274"/>
      <c r="N18" s="57"/>
      <c r="O18" s="58">
        <v>101346.88</v>
      </c>
      <c r="P18" s="59">
        <v>12.690647</v>
      </c>
      <c r="Q18" s="58">
        <v>105425.75</v>
      </c>
      <c r="R18" s="59">
        <v>4.0246630000000003</v>
      </c>
      <c r="S18" s="58">
        <v>117172.77</v>
      </c>
      <c r="T18" s="59">
        <v>11.142458</v>
      </c>
      <c r="U18" s="58">
        <v>135837.81</v>
      </c>
      <c r="V18" s="59">
        <v>15.929503</v>
      </c>
      <c r="W18" s="58">
        <v>142647.20000000001</v>
      </c>
      <c r="X18" s="59">
        <v>5.0128830000000004</v>
      </c>
    </row>
    <row r="19" spans="1:29" ht="26.15" customHeight="1">
      <c r="A19" s="65"/>
      <c r="B19" s="66"/>
      <c r="C19" s="66"/>
      <c r="D19" s="66"/>
      <c r="E19" s="66"/>
      <c r="F19" s="274" t="s">
        <v>164</v>
      </c>
      <c r="G19" s="274"/>
      <c r="H19" s="274"/>
      <c r="I19" s="274"/>
      <c r="J19" s="274"/>
      <c r="K19" s="274"/>
      <c r="L19" s="274"/>
      <c r="M19" s="274"/>
      <c r="N19" s="57"/>
      <c r="O19" s="58">
        <v>154028.56</v>
      </c>
      <c r="P19" s="59">
        <v>3.691179</v>
      </c>
      <c r="Q19" s="58">
        <v>159581.06</v>
      </c>
      <c r="R19" s="59">
        <v>3.604851</v>
      </c>
      <c r="S19" s="58">
        <v>189056.07</v>
      </c>
      <c r="T19" s="59">
        <v>18.470243</v>
      </c>
      <c r="U19" s="58">
        <v>213483.78</v>
      </c>
      <c r="V19" s="59">
        <v>12.920881</v>
      </c>
      <c r="W19" s="58">
        <v>189993.60000000001</v>
      </c>
      <c r="X19" s="59">
        <v>-11.003311999999999</v>
      </c>
    </row>
    <row r="20" spans="1:29" ht="26.15" customHeight="1" thickBot="1">
      <c r="A20" s="67"/>
      <c r="B20" s="68"/>
      <c r="C20" s="68"/>
      <c r="D20" s="68"/>
      <c r="E20" s="69"/>
      <c r="F20" s="275" t="s">
        <v>165</v>
      </c>
      <c r="G20" s="275"/>
      <c r="H20" s="275"/>
      <c r="I20" s="275"/>
      <c r="J20" s="275"/>
      <c r="K20" s="275"/>
      <c r="L20" s="275"/>
      <c r="M20" s="275"/>
      <c r="N20" s="70"/>
      <c r="O20" s="71">
        <v>27520.46</v>
      </c>
      <c r="P20" s="72">
        <v>29.956565000000001</v>
      </c>
      <c r="Q20" s="71">
        <v>26486.400000000001</v>
      </c>
      <c r="R20" s="72">
        <v>-3.7574230000000002</v>
      </c>
      <c r="S20" s="71">
        <v>32168.37</v>
      </c>
      <c r="T20" s="72">
        <v>21.452406</v>
      </c>
      <c r="U20" s="71">
        <v>37847.43</v>
      </c>
      <c r="V20" s="72">
        <v>17.654174000000001</v>
      </c>
      <c r="W20" s="71">
        <v>39246.910000000003</v>
      </c>
      <c r="X20" s="72">
        <v>3.6980170000000001</v>
      </c>
    </row>
    <row r="21" spans="1:29" ht="26.15" customHeight="1">
      <c r="A21" s="65"/>
      <c r="B21" s="274" t="s">
        <v>166</v>
      </c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57"/>
      <c r="O21" s="58"/>
      <c r="P21" s="59"/>
      <c r="Q21" s="58"/>
      <c r="R21" s="59"/>
      <c r="S21" s="58"/>
      <c r="T21" s="59"/>
      <c r="U21" s="58"/>
      <c r="V21" s="59"/>
      <c r="W21" s="58"/>
      <c r="X21" s="59"/>
    </row>
    <row r="22" spans="1:29" ht="26.15" customHeight="1">
      <c r="A22" s="65"/>
      <c r="B22" s="66"/>
      <c r="C22" s="66"/>
      <c r="D22" s="274" t="s">
        <v>167</v>
      </c>
      <c r="E22" s="274"/>
      <c r="F22" s="274"/>
      <c r="G22" s="274"/>
      <c r="H22" s="274"/>
      <c r="I22" s="274"/>
      <c r="J22" s="274"/>
      <c r="K22" s="274"/>
      <c r="L22" s="274"/>
      <c r="M22" s="274"/>
      <c r="N22" s="57"/>
      <c r="O22" s="58"/>
      <c r="P22" s="59"/>
      <c r="Q22" s="58"/>
      <c r="R22" s="59"/>
      <c r="S22" s="58"/>
      <c r="T22" s="59"/>
      <c r="U22" s="58"/>
      <c r="V22" s="59"/>
      <c r="W22" s="58"/>
      <c r="X22" s="59"/>
    </row>
    <row r="23" spans="1:29" ht="26.15" customHeight="1">
      <c r="A23" s="65"/>
      <c r="B23" s="66"/>
      <c r="C23" s="66"/>
      <c r="D23" s="66"/>
      <c r="E23" s="66"/>
      <c r="F23" s="274" t="s">
        <v>168</v>
      </c>
      <c r="G23" s="274"/>
      <c r="H23" s="274"/>
      <c r="I23" s="274"/>
      <c r="J23" s="274"/>
      <c r="K23" s="274"/>
      <c r="L23" s="274"/>
      <c r="M23" s="274"/>
      <c r="N23" s="57"/>
      <c r="O23" s="58">
        <v>128693.99</v>
      </c>
      <c r="P23" s="59">
        <v>7.7467949999999997</v>
      </c>
      <c r="Q23" s="58">
        <v>115110.3</v>
      </c>
      <c r="R23" s="59">
        <v>-10.555031</v>
      </c>
      <c r="S23" s="58">
        <v>103294.04</v>
      </c>
      <c r="T23" s="59">
        <v>-10.265162999999999</v>
      </c>
      <c r="U23" s="58">
        <v>112596.97</v>
      </c>
      <c r="V23" s="59">
        <v>9.0062599999999993</v>
      </c>
      <c r="W23" s="58">
        <v>98028.6</v>
      </c>
      <c r="X23" s="59">
        <v>-12.938510000000001</v>
      </c>
    </row>
    <row r="24" spans="1:29" ht="26.15" customHeight="1">
      <c r="A24" s="65"/>
      <c r="B24" s="66"/>
      <c r="C24" s="66"/>
      <c r="D24" s="66"/>
      <c r="E24" s="66"/>
      <c r="F24" s="274" t="s">
        <v>169</v>
      </c>
      <c r="G24" s="274"/>
      <c r="H24" s="274"/>
      <c r="I24" s="274"/>
      <c r="J24" s="274"/>
      <c r="K24" s="274"/>
      <c r="L24" s="274"/>
      <c r="M24" s="274"/>
      <c r="N24" s="57"/>
      <c r="O24" s="58">
        <v>5326.96</v>
      </c>
      <c r="P24" s="59">
        <v>-2.0331000000000001</v>
      </c>
      <c r="Q24" s="58">
        <v>5560.86</v>
      </c>
      <c r="R24" s="59">
        <v>4.3908719999999999</v>
      </c>
      <c r="S24" s="58">
        <v>5400.21</v>
      </c>
      <c r="T24" s="59">
        <v>-2.8889420000000001</v>
      </c>
      <c r="U24" s="58">
        <v>5793.06</v>
      </c>
      <c r="V24" s="59">
        <v>7.2657790000000002</v>
      </c>
      <c r="W24" s="58">
        <v>6029.99</v>
      </c>
      <c r="X24" s="59">
        <v>4.0898940000000001</v>
      </c>
    </row>
    <row r="25" spans="1:29" ht="26.15" customHeight="1">
      <c r="A25" s="65"/>
      <c r="B25" s="66"/>
      <c r="C25" s="66"/>
      <c r="D25" s="66"/>
      <c r="E25" s="66"/>
      <c r="F25" s="274" t="s">
        <v>170</v>
      </c>
      <c r="G25" s="274"/>
      <c r="H25" s="274"/>
      <c r="I25" s="274"/>
      <c r="J25" s="274"/>
      <c r="K25" s="274"/>
      <c r="L25" s="274"/>
      <c r="M25" s="274"/>
      <c r="N25" s="57"/>
      <c r="O25" s="58">
        <v>3901.25</v>
      </c>
      <c r="P25" s="59">
        <v>1.455287</v>
      </c>
      <c r="Q25" s="58">
        <v>3897.55</v>
      </c>
      <c r="R25" s="59">
        <v>-9.4840999999999995E-2</v>
      </c>
      <c r="S25" s="58">
        <v>6490.2</v>
      </c>
      <c r="T25" s="59">
        <v>66.519992999999999</v>
      </c>
      <c r="U25" s="58">
        <v>6600.32</v>
      </c>
      <c r="V25" s="59">
        <v>1.696712</v>
      </c>
      <c r="W25" s="58">
        <v>6205.08</v>
      </c>
      <c r="X25" s="59">
        <v>-5.9899040000000001</v>
      </c>
    </row>
    <row r="26" spans="1:29" ht="26.15" customHeight="1" thickBot="1">
      <c r="A26" s="73"/>
      <c r="B26" s="68"/>
      <c r="C26" s="68"/>
      <c r="D26" s="68"/>
      <c r="E26" s="69"/>
      <c r="F26" s="275" t="s">
        <v>171</v>
      </c>
      <c r="G26" s="275"/>
      <c r="H26" s="275"/>
      <c r="I26" s="275"/>
      <c r="J26" s="275"/>
      <c r="K26" s="275"/>
      <c r="L26" s="275"/>
      <c r="M26" s="275"/>
      <c r="N26" s="70"/>
      <c r="O26" s="71">
        <v>2010.46</v>
      </c>
      <c r="P26" s="72">
        <v>-7.5612320000000004</v>
      </c>
      <c r="Q26" s="71">
        <v>2193.1</v>
      </c>
      <c r="R26" s="72">
        <v>9.0844880000000003</v>
      </c>
      <c r="S26" s="71">
        <v>959.66</v>
      </c>
      <c r="T26" s="72">
        <v>-56.241849000000002</v>
      </c>
      <c r="U26" s="71">
        <v>2230.7800000000002</v>
      </c>
      <c r="V26" s="72">
        <v>132.45524499999999</v>
      </c>
      <c r="W26" s="71">
        <v>2854.45</v>
      </c>
      <c r="X26" s="72">
        <v>27.964369000000001</v>
      </c>
    </row>
    <row r="27" spans="1:29" ht="13.5" customHeight="1">
      <c r="A27" s="276" t="s">
        <v>172</v>
      </c>
      <c r="B27" s="276"/>
      <c r="C27" s="276"/>
      <c r="D27" s="276"/>
      <c r="E27" s="276"/>
      <c r="F27" s="276"/>
      <c r="G27" s="74"/>
      <c r="H27" s="75" t="s">
        <v>173</v>
      </c>
      <c r="I27" s="273" t="s">
        <v>174</v>
      </c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  <c r="AA27" s="273"/>
      <c r="AB27" s="273"/>
      <c r="AC27" s="76"/>
    </row>
    <row r="28" spans="1:29" ht="13.5" customHeight="1">
      <c r="A28" s="74"/>
      <c r="B28" s="74"/>
      <c r="C28" s="74"/>
      <c r="D28" s="78"/>
      <c r="E28" s="74"/>
      <c r="F28" s="74"/>
      <c r="G28" s="74"/>
      <c r="H28" s="75" t="s">
        <v>2</v>
      </c>
      <c r="I28" s="273" t="s">
        <v>175</v>
      </c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76"/>
    </row>
    <row r="29" spans="1:29" ht="13.5" customHeight="1">
      <c r="A29" s="74"/>
      <c r="B29" s="74"/>
      <c r="C29" s="74"/>
      <c r="D29" s="78"/>
      <c r="E29" s="74"/>
      <c r="F29" s="74"/>
      <c r="G29" s="74"/>
      <c r="H29" s="75" t="s">
        <v>302</v>
      </c>
      <c r="I29" s="273" t="s">
        <v>176</v>
      </c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76"/>
    </row>
    <row r="30" spans="1:29" ht="13.5" customHeight="1">
      <c r="A30" s="74"/>
      <c r="B30" s="74"/>
      <c r="C30" s="74"/>
      <c r="D30" s="78"/>
      <c r="E30" s="74"/>
      <c r="F30" s="74"/>
      <c r="G30" s="74"/>
      <c r="H30" s="75"/>
      <c r="I30" s="273" t="s">
        <v>177</v>
      </c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76"/>
    </row>
    <row r="31" spans="1:29" ht="13.5" customHeight="1">
      <c r="A31" s="74"/>
      <c r="B31" s="74"/>
      <c r="C31" s="74"/>
      <c r="D31" s="78"/>
      <c r="E31" s="74"/>
      <c r="F31" s="74"/>
      <c r="G31" s="74"/>
      <c r="H31" s="75" t="s">
        <v>303</v>
      </c>
      <c r="I31" s="273" t="s">
        <v>178</v>
      </c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76"/>
    </row>
    <row r="32" spans="1:29" ht="13.5" customHeight="1">
      <c r="A32" s="74"/>
      <c r="B32" s="74"/>
      <c r="C32" s="74"/>
      <c r="D32" s="74"/>
      <c r="E32" s="74"/>
      <c r="F32" s="74"/>
      <c r="G32" s="74"/>
      <c r="H32" s="75"/>
      <c r="I32" s="273" t="s">
        <v>179</v>
      </c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76"/>
    </row>
  </sheetData>
  <mergeCells count="41">
    <mergeCell ref="W2:X2"/>
    <mergeCell ref="O3:O5"/>
    <mergeCell ref="A1:AB1"/>
    <mergeCell ref="A3:N5"/>
    <mergeCell ref="R4:R5"/>
    <mergeCell ref="T4:T5"/>
    <mergeCell ref="P4:P5"/>
    <mergeCell ref="S3:S5"/>
    <mergeCell ref="Q3:Q5"/>
    <mergeCell ref="W3:W5"/>
    <mergeCell ref="X4:X5"/>
    <mergeCell ref="B6:M6"/>
    <mergeCell ref="D7:M7"/>
    <mergeCell ref="F8:M8"/>
    <mergeCell ref="U3:U5"/>
    <mergeCell ref="V4:V5"/>
    <mergeCell ref="F13:M13"/>
    <mergeCell ref="F14:M14"/>
    <mergeCell ref="B15:M15"/>
    <mergeCell ref="D16:M16"/>
    <mergeCell ref="F9:M9"/>
    <mergeCell ref="F10:M10"/>
    <mergeCell ref="F11:M11"/>
    <mergeCell ref="F12:M12"/>
    <mergeCell ref="B21:M21"/>
    <mergeCell ref="D22:M22"/>
    <mergeCell ref="F23:M23"/>
    <mergeCell ref="F24:M24"/>
    <mergeCell ref="F17:M17"/>
    <mergeCell ref="F18:M18"/>
    <mergeCell ref="F19:M19"/>
    <mergeCell ref="F20:M20"/>
    <mergeCell ref="I30:AB30"/>
    <mergeCell ref="I31:AB31"/>
    <mergeCell ref="I32:AB32"/>
    <mergeCell ref="I28:AB28"/>
    <mergeCell ref="I29:AB29"/>
    <mergeCell ref="F25:M25"/>
    <mergeCell ref="F26:M26"/>
    <mergeCell ref="A27:F27"/>
    <mergeCell ref="I27:AB27"/>
  </mergeCells>
  <phoneticPr fontId="2"/>
  <pageMargins left="0.75" right="0.75" top="1" bottom="1" header="0.51200000000000001" footer="0.51200000000000001"/>
  <pageSetup paperSize="9" scale="76" orientation="landscape" horizontalDpi="300" verticalDpi="300" r:id="rId1"/>
  <headerFooter alignWithMargins="0"/>
  <ignoredErrors>
    <ignoredError sqref="H27 H30 W4:W5 O3:W3 O4:V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DF22-9755-41A2-A46A-A8F869CC2D60}">
  <sheetPr>
    <tabColor rgb="FFFFC000"/>
    <pageSetUpPr fitToPage="1"/>
  </sheetPr>
  <dimension ref="A1:X83"/>
  <sheetViews>
    <sheetView view="pageBreakPreview" zoomScaleNormal="100" zoomScaleSheetLayoutView="100" workbookViewId="0">
      <selection sqref="A1:N1"/>
    </sheetView>
  </sheetViews>
  <sheetFormatPr defaultColWidth="9" defaultRowHeight="11"/>
  <cols>
    <col min="1" max="2" width="1.6328125" style="79" customWidth="1"/>
    <col min="3" max="3" width="26.6328125" style="79" customWidth="1"/>
    <col min="4" max="4" width="1.6328125" style="79" customWidth="1"/>
    <col min="5" max="5" width="13" style="79" customWidth="1"/>
    <col min="6" max="6" width="9.6328125" style="79" customWidth="1"/>
    <col min="7" max="7" width="13" style="79" customWidth="1"/>
    <col min="8" max="8" width="9.6328125" style="79" customWidth="1"/>
    <col min="9" max="9" width="13" style="79" customWidth="1"/>
    <col min="10" max="10" width="9.6328125" style="79" customWidth="1"/>
    <col min="11" max="11" width="13" style="79" customWidth="1"/>
    <col min="12" max="12" width="9.6328125" style="79" customWidth="1"/>
    <col min="13" max="13" width="13" style="79" customWidth="1"/>
    <col min="14" max="14" width="9.6328125" style="79" customWidth="1"/>
    <col min="15" max="15" width="13" style="79" customWidth="1"/>
    <col min="16" max="16" width="8.453125" style="79" customWidth="1"/>
    <col min="17" max="17" width="13" style="79" customWidth="1"/>
    <col min="18" max="18" width="8.453125" style="79" customWidth="1"/>
    <col min="19" max="77" width="10.26953125" style="79" customWidth="1"/>
    <col min="78" max="16384" width="9" style="79"/>
  </cols>
  <sheetData>
    <row r="1" spans="1:24" ht="19">
      <c r="A1" s="298" t="s">
        <v>279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26"/>
      <c r="P1" s="226"/>
      <c r="Q1" s="226"/>
      <c r="R1" s="226"/>
    </row>
    <row r="2" spans="1:24" ht="19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24" ht="15" customHeight="1">
      <c r="A3" s="81"/>
      <c r="B3" s="81"/>
      <c r="C3" s="81"/>
      <c r="D3" s="81"/>
      <c r="E3" s="81"/>
      <c r="F3" s="81"/>
      <c r="G3" s="81"/>
      <c r="H3" s="81"/>
      <c r="I3" s="308" t="s">
        <v>3</v>
      </c>
      <c r="J3" s="308"/>
      <c r="K3" s="308"/>
      <c r="L3" s="308"/>
      <c r="M3" s="308"/>
      <c r="N3" s="308"/>
    </row>
    <row r="4" spans="1:24" ht="17.149999999999999" customHeight="1">
      <c r="A4" s="300" t="s">
        <v>180</v>
      </c>
      <c r="B4" s="301"/>
      <c r="C4" s="301"/>
      <c r="D4" s="302"/>
      <c r="E4" s="306">
        <v>2014</v>
      </c>
      <c r="F4" s="181"/>
      <c r="G4" s="306">
        <v>2015</v>
      </c>
      <c r="H4" s="181"/>
      <c r="I4" s="306">
        <v>2016</v>
      </c>
      <c r="J4" s="181"/>
      <c r="K4" s="306">
        <v>2017</v>
      </c>
      <c r="L4" s="181"/>
      <c r="M4" s="306">
        <v>2018</v>
      </c>
      <c r="N4" s="181"/>
    </row>
    <row r="5" spans="1:24" ht="22" customHeight="1">
      <c r="A5" s="303"/>
      <c r="B5" s="304"/>
      <c r="C5" s="304"/>
      <c r="D5" s="305"/>
      <c r="E5" s="307"/>
      <c r="F5" s="82" t="s">
        <v>62</v>
      </c>
      <c r="G5" s="307"/>
      <c r="H5" s="82" t="s">
        <v>62</v>
      </c>
      <c r="I5" s="307"/>
      <c r="J5" s="82" t="s">
        <v>62</v>
      </c>
      <c r="K5" s="307"/>
      <c r="L5" s="82" t="s">
        <v>62</v>
      </c>
      <c r="M5" s="307"/>
      <c r="N5" s="82" t="s">
        <v>62</v>
      </c>
    </row>
    <row r="6" spans="1:24" s="86" customFormat="1" ht="24" customHeight="1">
      <c r="A6" s="309" t="s">
        <v>152</v>
      </c>
      <c r="B6" s="310"/>
      <c r="C6" s="310"/>
      <c r="D6" s="83"/>
      <c r="E6" s="84"/>
      <c r="F6" s="85"/>
      <c r="G6" s="84"/>
      <c r="H6" s="85"/>
      <c r="I6" s="84"/>
      <c r="J6" s="85"/>
      <c r="K6" s="84"/>
      <c r="L6" s="85"/>
      <c r="M6" s="84"/>
      <c r="N6" s="85"/>
    </row>
    <row r="7" spans="1:24" s="86" customFormat="1" ht="24" customHeight="1">
      <c r="A7" s="87"/>
      <c r="B7" s="311" t="s">
        <v>181</v>
      </c>
      <c r="C7" s="311"/>
      <c r="D7" s="83"/>
      <c r="E7" s="88">
        <v>498163.98</v>
      </c>
      <c r="F7" s="89">
        <v>100</v>
      </c>
      <c r="G7" s="88">
        <v>500314.38</v>
      </c>
      <c r="H7" s="89">
        <v>100</v>
      </c>
      <c r="I7" s="88">
        <v>578800.74</v>
      </c>
      <c r="J7" s="89">
        <v>100</v>
      </c>
      <c r="K7" s="88">
        <v>703904.52</v>
      </c>
      <c r="L7" s="89">
        <v>100</v>
      </c>
      <c r="M7" s="88">
        <v>693592.18</v>
      </c>
      <c r="N7" s="89">
        <v>100</v>
      </c>
    </row>
    <row r="8" spans="1:24" s="86" customFormat="1" ht="24" customHeight="1">
      <c r="A8" s="90"/>
      <c r="B8" s="91"/>
      <c r="C8" s="94" t="s">
        <v>297</v>
      </c>
      <c r="D8" s="91"/>
      <c r="E8" s="92">
        <v>211744.22</v>
      </c>
      <c r="F8" s="93">
        <v>42.504923780318279</v>
      </c>
      <c r="G8" s="92">
        <v>263916.2</v>
      </c>
      <c r="H8" s="93">
        <v>52.750072864185917</v>
      </c>
      <c r="I8" s="92">
        <v>241720.56</v>
      </c>
      <c r="J8" s="93">
        <v>41.762310117295286</v>
      </c>
      <c r="K8" s="92">
        <v>282726.75</v>
      </c>
      <c r="L8" s="93">
        <v>40.165497161461609</v>
      </c>
      <c r="M8" s="92">
        <v>309964.58</v>
      </c>
      <c r="N8" s="93">
        <v>44.689745492805294</v>
      </c>
    </row>
    <row r="9" spans="1:24" s="86" customFormat="1" ht="24" customHeight="1">
      <c r="A9" s="312" t="s">
        <v>182</v>
      </c>
      <c r="B9" s="313"/>
      <c r="C9" s="313"/>
      <c r="D9" s="83"/>
      <c r="E9" s="88"/>
      <c r="F9" s="89"/>
      <c r="G9" s="88"/>
      <c r="H9" s="89"/>
      <c r="I9" s="88"/>
      <c r="J9" s="89"/>
      <c r="K9" s="88"/>
      <c r="L9" s="89"/>
      <c r="M9" s="88"/>
      <c r="N9" s="89"/>
    </row>
    <row r="10" spans="1:24" s="86" customFormat="1" ht="24" customHeight="1">
      <c r="A10" s="87"/>
      <c r="B10" s="311" t="s">
        <v>181</v>
      </c>
      <c r="C10" s="311"/>
      <c r="D10" s="83"/>
      <c r="E10" s="88">
        <v>85062.62</v>
      </c>
      <c r="F10" s="89">
        <v>100</v>
      </c>
      <c r="G10" s="88">
        <v>81999.149999999994</v>
      </c>
      <c r="H10" s="89">
        <v>100</v>
      </c>
      <c r="I10" s="88">
        <v>81336.160000000003</v>
      </c>
      <c r="J10" s="89">
        <v>100</v>
      </c>
      <c r="K10" s="88">
        <v>89197.9</v>
      </c>
      <c r="L10" s="89">
        <v>100</v>
      </c>
      <c r="M10" s="88">
        <v>73291.98</v>
      </c>
      <c r="N10" s="89">
        <v>100</v>
      </c>
    </row>
    <row r="11" spans="1:24" s="86" customFormat="1" ht="24" customHeight="1">
      <c r="A11" s="90"/>
      <c r="B11" s="91"/>
      <c r="C11" s="94" t="s">
        <v>297</v>
      </c>
      <c r="D11" s="91"/>
      <c r="E11" s="92">
        <v>42910.99</v>
      </c>
      <c r="F11" s="93">
        <v>50.446353521676144</v>
      </c>
      <c r="G11" s="92">
        <v>41810.629999999997</v>
      </c>
      <c r="H11" s="93">
        <v>50.989101716298279</v>
      </c>
      <c r="I11" s="92">
        <v>40918.74</v>
      </c>
      <c r="J11" s="93">
        <v>50.308177814148095</v>
      </c>
      <c r="K11" s="92">
        <v>49545.02</v>
      </c>
      <c r="L11" s="93">
        <v>55.545052069611501</v>
      </c>
      <c r="M11" s="92">
        <v>47896.25</v>
      </c>
      <c r="N11" s="93">
        <v>65.349919595568309</v>
      </c>
    </row>
    <row r="12" spans="1:24" s="86" customFormat="1" ht="12.75" customHeight="1">
      <c r="A12" s="83"/>
      <c r="B12" s="83"/>
      <c r="C12" s="83"/>
      <c r="D12" s="83"/>
      <c r="E12" s="95"/>
      <c r="F12" s="83"/>
      <c r="G12" s="95"/>
      <c r="H12" s="83"/>
      <c r="I12" s="95"/>
      <c r="J12" s="83"/>
      <c r="K12" s="95"/>
      <c r="L12" s="83"/>
      <c r="M12" s="95"/>
      <c r="N12" s="83"/>
      <c r="O12" s="95"/>
      <c r="P12" s="83"/>
      <c r="Q12" s="95"/>
      <c r="R12" s="83"/>
    </row>
    <row r="13" spans="1:24" ht="12" customHeight="1">
      <c r="A13" s="17" t="s">
        <v>307</v>
      </c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2"/>
      <c r="Q13" s="2"/>
      <c r="R13" s="2"/>
      <c r="S13" s="2"/>
      <c r="T13" s="2"/>
      <c r="U13" s="2"/>
      <c r="V13" s="2"/>
      <c r="W13" s="2"/>
      <c r="X13" s="2"/>
    </row>
    <row r="14" spans="1:24" ht="12" customHeight="1">
      <c r="A14" s="32" t="s">
        <v>308</v>
      </c>
      <c r="B14" s="19"/>
      <c r="C14" s="18"/>
      <c r="D14" s="19"/>
      <c r="E14" s="18"/>
      <c r="F14" s="19"/>
      <c r="G14" s="18"/>
      <c r="H14" s="19"/>
      <c r="I14" s="18"/>
      <c r="J14" s="19"/>
      <c r="K14" s="18"/>
      <c r="L14" s="19"/>
      <c r="M14" s="18"/>
      <c r="N14" s="19"/>
      <c r="O14" s="18"/>
      <c r="P14" s="2"/>
      <c r="Q14" s="2"/>
      <c r="R14" s="2"/>
      <c r="S14" s="2"/>
      <c r="T14" s="2"/>
      <c r="U14" s="2"/>
      <c r="V14" s="2"/>
      <c r="W14" s="2"/>
      <c r="X14" s="2"/>
    </row>
    <row r="15" spans="1:24" ht="11.9" customHeight="1">
      <c r="A15" s="32" t="s">
        <v>313</v>
      </c>
      <c r="B15" s="19"/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2"/>
      <c r="Q15" s="2"/>
      <c r="R15" s="2"/>
      <c r="S15" s="2"/>
      <c r="T15" s="2"/>
      <c r="U15" s="2"/>
      <c r="V15" s="2"/>
      <c r="W15" s="2"/>
      <c r="X15" s="2"/>
    </row>
    <row r="16" spans="1:24" ht="11.9" customHeight="1">
      <c r="A16" s="96"/>
      <c r="B16" s="96"/>
      <c r="C16" s="96"/>
      <c r="D16" s="96"/>
      <c r="E16" s="97"/>
      <c r="F16" s="96"/>
      <c r="G16" s="97"/>
      <c r="H16" s="96"/>
      <c r="I16" s="97"/>
      <c r="J16" s="96"/>
      <c r="K16" s="97"/>
      <c r="L16" s="96"/>
      <c r="M16" s="97"/>
      <c r="N16" s="96"/>
      <c r="O16" s="97"/>
      <c r="P16" s="96"/>
      <c r="Q16" s="97"/>
      <c r="R16" s="96"/>
    </row>
    <row r="17" spans="1:18" ht="11.9" customHeight="1">
      <c r="A17" s="96"/>
      <c r="B17" s="96"/>
      <c r="C17" s="96"/>
      <c r="D17" s="96"/>
      <c r="E17" s="97"/>
      <c r="F17" s="96"/>
      <c r="G17" s="97"/>
      <c r="H17" s="96"/>
      <c r="I17" s="97"/>
      <c r="J17" s="96"/>
      <c r="K17" s="97"/>
      <c r="L17" s="96"/>
      <c r="M17" s="97"/>
      <c r="N17" s="96"/>
      <c r="O17" s="97"/>
      <c r="P17" s="96"/>
      <c r="Q17" s="97"/>
      <c r="R17" s="96"/>
    </row>
    <row r="18" spans="1:18" ht="11.9" customHeight="1">
      <c r="A18" s="96"/>
      <c r="B18" s="96"/>
      <c r="C18" s="96"/>
      <c r="D18" s="96"/>
      <c r="E18" s="97"/>
      <c r="F18" s="96"/>
      <c r="G18" s="97"/>
      <c r="H18" s="96"/>
      <c r="I18" s="97"/>
      <c r="J18" s="96"/>
      <c r="K18" s="97"/>
      <c r="L18" s="96"/>
      <c r="M18" s="97"/>
      <c r="N18" s="96"/>
      <c r="O18" s="97"/>
      <c r="P18" s="96"/>
      <c r="Q18" s="97"/>
      <c r="R18" s="96"/>
    </row>
    <row r="19" spans="1:18" ht="11.9" customHeight="1">
      <c r="A19" s="96"/>
      <c r="B19" s="96"/>
      <c r="C19" s="96"/>
      <c r="D19" s="96"/>
      <c r="E19" s="97"/>
      <c r="F19" s="96"/>
      <c r="G19" s="97"/>
      <c r="H19" s="96"/>
      <c r="I19" s="97"/>
      <c r="J19" s="96"/>
      <c r="K19" s="97"/>
      <c r="L19" s="96"/>
      <c r="M19" s="97"/>
      <c r="N19" s="96"/>
      <c r="O19" s="97"/>
      <c r="P19" s="96"/>
      <c r="Q19" s="97"/>
      <c r="R19" s="96"/>
    </row>
    <row r="20" spans="1:18" ht="11.9" customHeight="1">
      <c r="A20" s="96"/>
      <c r="B20" s="96"/>
      <c r="C20" s="96"/>
      <c r="D20" s="96"/>
      <c r="E20" s="97"/>
      <c r="F20" s="96"/>
      <c r="G20" s="97"/>
      <c r="H20" s="96"/>
      <c r="I20" s="97"/>
      <c r="J20" s="96"/>
      <c r="K20" s="97"/>
      <c r="L20" s="96"/>
      <c r="M20" s="97"/>
      <c r="N20" s="96"/>
      <c r="O20" s="97"/>
      <c r="P20" s="96"/>
      <c r="Q20" s="97"/>
      <c r="R20" s="96"/>
    </row>
    <row r="21" spans="1:18" ht="11.9" customHeight="1">
      <c r="A21" s="96"/>
      <c r="B21" s="96"/>
      <c r="C21" s="96"/>
      <c r="D21" s="96"/>
      <c r="E21" s="97"/>
      <c r="F21" s="96"/>
      <c r="G21" s="97"/>
      <c r="H21" s="96"/>
      <c r="I21" s="97"/>
      <c r="J21" s="96"/>
      <c r="K21" s="97"/>
      <c r="L21" s="96"/>
      <c r="M21" s="97"/>
      <c r="N21" s="96"/>
      <c r="O21" s="97"/>
      <c r="P21" s="96"/>
      <c r="Q21" s="97"/>
      <c r="R21" s="96"/>
    </row>
    <row r="22" spans="1:18" ht="11.9" customHeight="1">
      <c r="A22" s="96"/>
      <c r="B22" s="96"/>
      <c r="C22" s="96"/>
      <c r="D22" s="96"/>
      <c r="E22" s="97"/>
      <c r="F22" s="96"/>
      <c r="G22" s="97"/>
      <c r="H22" s="96"/>
      <c r="I22" s="97"/>
      <c r="J22" s="96"/>
      <c r="K22" s="97"/>
      <c r="L22" s="96"/>
      <c r="M22" s="97"/>
      <c r="N22" s="96"/>
      <c r="O22" s="97"/>
      <c r="P22" s="96"/>
      <c r="Q22" s="97"/>
      <c r="R22" s="96"/>
    </row>
    <row r="23" spans="1:18" ht="11.9" customHeight="1">
      <c r="A23" s="96"/>
      <c r="B23" s="96"/>
      <c r="C23" s="96"/>
      <c r="D23" s="96"/>
      <c r="E23" s="97"/>
      <c r="F23" s="96"/>
      <c r="G23" s="97"/>
      <c r="H23" s="96"/>
      <c r="I23" s="97"/>
      <c r="J23" s="96"/>
      <c r="K23" s="97"/>
      <c r="L23" s="96"/>
      <c r="M23" s="97"/>
      <c r="N23" s="96"/>
      <c r="O23" s="97"/>
      <c r="P23" s="96"/>
      <c r="Q23" s="97"/>
      <c r="R23" s="96"/>
    </row>
    <row r="24" spans="1:18" ht="11.9" customHeight="1">
      <c r="A24" s="96"/>
      <c r="B24" s="96"/>
      <c r="C24" s="96"/>
      <c r="D24" s="96"/>
      <c r="E24" s="97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</row>
    <row r="25" spans="1:18" ht="11.9" customHeight="1">
      <c r="A25" s="96"/>
      <c r="B25" s="96"/>
      <c r="C25" s="96"/>
      <c r="D25" s="96"/>
      <c r="E25" s="97"/>
      <c r="F25" s="96"/>
      <c r="G25" s="97"/>
      <c r="H25" s="96"/>
      <c r="I25" s="97"/>
      <c r="J25" s="96"/>
      <c r="K25" s="97"/>
      <c r="L25" s="96"/>
      <c r="M25" s="97"/>
      <c r="N25" s="96"/>
      <c r="O25" s="97"/>
      <c r="P25" s="96"/>
      <c r="Q25" s="97"/>
      <c r="R25" s="96"/>
    </row>
    <row r="26" spans="1:18" ht="11.9" customHeight="1">
      <c r="A26" s="96"/>
      <c r="B26" s="96"/>
      <c r="C26" s="96"/>
      <c r="D26" s="96"/>
      <c r="E26" s="97"/>
      <c r="F26" s="96"/>
      <c r="G26" s="97"/>
      <c r="H26" s="96"/>
      <c r="I26" s="97"/>
      <c r="J26" s="96"/>
      <c r="K26" s="97"/>
      <c r="L26" s="96"/>
      <c r="M26" s="97"/>
      <c r="N26" s="96"/>
      <c r="O26" s="97"/>
      <c r="P26" s="96"/>
      <c r="Q26" s="97"/>
      <c r="R26" s="96"/>
    </row>
    <row r="27" spans="1:18" ht="11.9" customHeight="1">
      <c r="A27" s="96"/>
      <c r="B27" s="96"/>
      <c r="C27" s="96"/>
      <c r="D27" s="96"/>
      <c r="E27" s="97"/>
      <c r="F27" s="96"/>
      <c r="G27" s="97"/>
      <c r="H27" s="96"/>
      <c r="I27" s="97"/>
      <c r="J27" s="96"/>
      <c r="K27" s="97"/>
      <c r="L27" s="96"/>
      <c r="M27" s="97"/>
      <c r="N27" s="96"/>
      <c r="O27" s="97"/>
      <c r="P27" s="96"/>
      <c r="Q27" s="97"/>
      <c r="R27" s="96"/>
    </row>
    <row r="28" spans="1:18" ht="11.9" customHeight="1">
      <c r="A28" s="96"/>
      <c r="B28" s="96"/>
      <c r="C28" s="96"/>
      <c r="D28" s="96"/>
      <c r="E28" s="97"/>
      <c r="F28" s="96"/>
      <c r="G28" s="97"/>
      <c r="H28" s="96"/>
      <c r="I28" s="97"/>
      <c r="J28" s="96"/>
      <c r="K28" s="97"/>
      <c r="L28" s="96"/>
      <c r="M28" s="97"/>
      <c r="N28" s="96"/>
      <c r="O28" s="97"/>
      <c r="P28" s="96"/>
      <c r="Q28" s="97"/>
      <c r="R28" s="96"/>
    </row>
    <row r="29" spans="1:18" ht="11.9" customHeight="1">
      <c r="A29" s="96"/>
      <c r="B29" s="96"/>
      <c r="C29" s="96"/>
      <c r="D29" s="96"/>
      <c r="E29" s="97"/>
      <c r="F29" s="96"/>
      <c r="G29" s="97"/>
      <c r="H29" s="96"/>
      <c r="I29" s="97"/>
      <c r="J29" s="96"/>
      <c r="K29" s="97"/>
      <c r="L29" s="96"/>
      <c r="M29" s="97"/>
      <c r="N29" s="96"/>
      <c r="O29" s="97"/>
      <c r="P29" s="96"/>
      <c r="Q29" s="97"/>
      <c r="R29" s="96"/>
    </row>
    <row r="30" spans="1:18" ht="11.9" customHeight="1">
      <c r="A30" s="96"/>
      <c r="B30" s="96"/>
      <c r="C30" s="96"/>
      <c r="D30" s="96"/>
      <c r="E30" s="97"/>
      <c r="F30" s="96"/>
      <c r="G30" s="97"/>
      <c r="H30" s="96"/>
      <c r="I30" s="97"/>
      <c r="J30" s="96"/>
      <c r="K30" s="97"/>
      <c r="L30" s="96"/>
      <c r="M30" s="97"/>
      <c r="N30" s="96"/>
      <c r="O30" s="97"/>
      <c r="P30" s="96"/>
      <c r="Q30" s="97"/>
      <c r="R30" s="96"/>
    </row>
    <row r="31" spans="1:18" ht="11.9" customHeight="1"/>
    <row r="32" spans="1:18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71" spans="1:17">
      <c r="A71" s="96"/>
      <c r="B71" s="96"/>
      <c r="C71" s="96"/>
      <c r="D71" s="96"/>
      <c r="E71" s="97"/>
      <c r="G71" s="97"/>
      <c r="I71" s="97"/>
      <c r="K71" s="97"/>
      <c r="M71" s="97"/>
      <c r="O71" s="97"/>
      <c r="Q71" s="97"/>
    </row>
    <row r="72" spans="1:17">
      <c r="A72" s="96"/>
      <c r="B72" s="96"/>
      <c r="C72" s="96"/>
      <c r="D72" s="96"/>
      <c r="E72" s="97"/>
      <c r="G72" s="97"/>
      <c r="I72" s="97"/>
      <c r="K72" s="97"/>
      <c r="M72" s="97"/>
      <c r="O72" s="97"/>
      <c r="Q72" s="97"/>
    </row>
    <row r="73" spans="1:17">
      <c r="A73" s="96"/>
      <c r="B73" s="96"/>
      <c r="C73" s="96"/>
      <c r="D73" s="96"/>
      <c r="E73" s="97"/>
      <c r="G73" s="97"/>
      <c r="I73" s="97"/>
      <c r="K73" s="97"/>
      <c r="M73" s="97"/>
      <c r="O73" s="97"/>
      <c r="Q73" s="97"/>
    </row>
    <row r="74" spans="1:17">
      <c r="A74" s="96"/>
      <c r="B74" s="96"/>
      <c r="C74" s="96"/>
      <c r="D74" s="96"/>
      <c r="E74" s="97"/>
      <c r="G74" s="97"/>
      <c r="I74" s="97"/>
      <c r="K74" s="97"/>
      <c r="M74" s="97"/>
      <c r="O74" s="97"/>
      <c r="Q74" s="97"/>
    </row>
    <row r="75" spans="1:17">
      <c r="A75" s="96"/>
      <c r="B75" s="96"/>
      <c r="C75" s="96"/>
      <c r="D75" s="96"/>
      <c r="E75" s="97"/>
      <c r="G75" s="97"/>
      <c r="I75" s="97"/>
      <c r="K75" s="97"/>
      <c r="M75" s="97"/>
      <c r="O75" s="97"/>
      <c r="Q75" s="97"/>
    </row>
    <row r="76" spans="1:17">
      <c r="A76" s="96"/>
      <c r="B76" s="96"/>
      <c r="C76" s="96"/>
      <c r="D76" s="96"/>
      <c r="E76" s="97"/>
      <c r="G76" s="97"/>
      <c r="I76" s="97"/>
      <c r="K76" s="97"/>
      <c r="M76" s="97"/>
      <c r="O76" s="97"/>
      <c r="Q76" s="97"/>
    </row>
    <row r="77" spans="1:17">
      <c r="A77" s="96"/>
      <c r="B77" s="96"/>
      <c r="C77" s="96"/>
      <c r="D77" s="96"/>
      <c r="E77" s="97"/>
      <c r="G77" s="97"/>
      <c r="I77" s="97"/>
      <c r="K77" s="97"/>
      <c r="M77" s="97"/>
      <c r="O77" s="97"/>
      <c r="Q77" s="97"/>
    </row>
    <row r="78" spans="1:17">
      <c r="A78" s="96"/>
      <c r="B78" s="96"/>
      <c r="C78" s="96"/>
      <c r="D78" s="96"/>
      <c r="E78" s="97"/>
      <c r="G78" s="97"/>
      <c r="I78" s="97"/>
      <c r="K78" s="97"/>
      <c r="M78" s="97"/>
      <c r="O78" s="97"/>
      <c r="Q78" s="97"/>
    </row>
    <row r="79" spans="1:17">
      <c r="A79" s="96"/>
      <c r="B79" s="96"/>
      <c r="C79" s="96"/>
      <c r="D79" s="96"/>
      <c r="E79" s="97"/>
      <c r="G79" s="97"/>
      <c r="I79" s="97"/>
      <c r="K79" s="97"/>
      <c r="M79" s="97"/>
      <c r="O79" s="97"/>
      <c r="Q79" s="97"/>
    </row>
    <row r="80" spans="1:17">
      <c r="A80" s="96"/>
      <c r="B80" s="96"/>
      <c r="C80" s="96"/>
      <c r="D80" s="96"/>
      <c r="E80" s="97"/>
      <c r="G80" s="97"/>
      <c r="I80" s="97"/>
      <c r="K80" s="97"/>
      <c r="M80" s="97"/>
      <c r="O80" s="97"/>
      <c r="Q80" s="97"/>
    </row>
    <row r="81" spans="1:17">
      <c r="A81" s="96"/>
      <c r="B81" s="96"/>
      <c r="C81" s="96"/>
      <c r="D81" s="96"/>
      <c r="E81" s="97"/>
      <c r="G81" s="97"/>
      <c r="I81" s="97"/>
      <c r="K81" s="97"/>
      <c r="M81" s="97"/>
      <c r="O81" s="97"/>
      <c r="Q81" s="97"/>
    </row>
    <row r="82" spans="1:17">
      <c r="A82" s="96"/>
      <c r="B82" s="96"/>
      <c r="C82" s="96"/>
      <c r="D82" s="96"/>
      <c r="E82" s="97"/>
      <c r="G82" s="97"/>
      <c r="I82" s="97"/>
      <c r="K82" s="97"/>
      <c r="M82" s="97"/>
      <c r="O82" s="97"/>
      <c r="Q82" s="97"/>
    </row>
    <row r="83" spans="1:17">
      <c r="A83" s="96"/>
      <c r="B83" s="96"/>
      <c r="C83" s="96"/>
      <c r="D83" s="96"/>
      <c r="E83" s="97"/>
      <c r="G83" s="97"/>
      <c r="I83" s="97"/>
      <c r="K83" s="97"/>
      <c r="M83" s="97"/>
      <c r="O83" s="97"/>
      <c r="Q83" s="97"/>
    </row>
  </sheetData>
  <mergeCells count="12">
    <mergeCell ref="A6:C6"/>
    <mergeCell ref="B7:C7"/>
    <mergeCell ref="A9:C9"/>
    <mergeCell ref="B10:C10"/>
    <mergeCell ref="A1:N1"/>
    <mergeCell ref="A4:D5"/>
    <mergeCell ref="E4:E5"/>
    <mergeCell ref="I4:I5"/>
    <mergeCell ref="G4:G5"/>
    <mergeCell ref="M4:M5"/>
    <mergeCell ref="I3:N3"/>
    <mergeCell ref="K4:K5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3E17-A6D1-4C80-A190-1DAF53E76A1A}">
  <sheetPr>
    <tabColor rgb="FFFFC000"/>
    <pageSetUpPr fitToPage="1"/>
  </sheetPr>
  <dimension ref="A1:Q24"/>
  <sheetViews>
    <sheetView view="pageBreakPreview" zoomScaleNormal="100" zoomScaleSheetLayoutView="100" workbookViewId="0"/>
  </sheetViews>
  <sheetFormatPr defaultRowHeight="13"/>
  <cols>
    <col min="1" max="1" width="28" bestFit="1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280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9"/>
      <c r="B2" s="190"/>
      <c r="C2" s="190"/>
      <c r="D2" s="189"/>
      <c r="E2" s="190"/>
      <c r="F2" s="190"/>
      <c r="G2" s="190"/>
      <c r="H2" s="190"/>
      <c r="I2" s="190"/>
      <c r="J2" s="190"/>
      <c r="K2" s="3" t="s">
        <v>3</v>
      </c>
    </row>
    <row r="3" spans="1:11" ht="24" customHeight="1" thickBot="1">
      <c r="A3" s="251" t="s">
        <v>260</v>
      </c>
      <c r="B3" s="249">
        <v>2014</v>
      </c>
      <c r="C3" s="214"/>
      <c r="D3" s="249">
        <v>2015</v>
      </c>
      <c r="E3" s="214"/>
      <c r="F3" s="249">
        <v>2016</v>
      </c>
      <c r="G3" s="214"/>
      <c r="H3" s="249">
        <v>2017</v>
      </c>
      <c r="I3" s="214"/>
      <c r="J3" s="249">
        <v>2018</v>
      </c>
      <c r="K3" s="214"/>
    </row>
    <row r="4" spans="1:11" ht="24" customHeight="1" thickBot="1">
      <c r="A4" s="252"/>
      <c r="B4" s="250"/>
      <c r="C4" s="200" t="s">
        <v>258</v>
      </c>
      <c r="D4" s="250"/>
      <c r="E4" s="200" t="s">
        <v>258</v>
      </c>
      <c r="F4" s="250"/>
      <c r="G4" s="200" t="s">
        <v>258</v>
      </c>
      <c r="H4" s="250"/>
      <c r="I4" s="200" t="s">
        <v>258</v>
      </c>
      <c r="J4" s="250"/>
      <c r="K4" s="200" t="s">
        <v>258</v>
      </c>
    </row>
    <row r="5" spans="1:11" ht="34.5" customHeight="1">
      <c r="A5" s="207" t="s">
        <v>152</v>
      </c>
      <c r="B5" s="218">
        <v>4031997.1</v>
      </c>
      <c r="C5" s="204">
        <v>8.2048257422557143</v>
      </c>
      <c r="D5" s="220">
        <v>4292157</v>
      </c>
      <c r="E5" s="204">
        <v>6.4523831130731697</v>
      </c>
      <c r="F5" s="220">
        <v>4606122</v>
      </c>
      <c r="G5" s="204">
        <v>7.3148535806122652</v>
      </c>
      <c r="H5" s="220">
        <v>5074454</v>
      </c>
      <c r="I5" s="204">
        <v>10.167598687138552</v>
      </c>
      <c r="J5" s="220">
        <v>5260166</v>
      </c>
      <c r="K5" s="204">
        <f>(J5-H5)/H5*100</f>
        <v>3.6597434916150586</v>
      </c>
    </row>
    <row r="6" spans="1:11" ht="24" customHeight="1" thickBot="1">
      <c r="A6" s="208" t="s">
        <v>293</v>
      </c>
      <c r="B6" s="216">
        <v>488222.53</v>
      </c>
      <c r="C6" s="215">
        <v>9.2936848827908509</v>
      </c>
      <c r="D6" s="217">
        <v>513468</v>
      </c>
      <c r="E6" s="215">
        <v>5.1708941002784057</v>
      </c>
      <c r="F6" s="217">
        <v>543775</v>
      </c>
      <c r="G6" s="215">
        <v>5.9024126138337731</v>
      </c>
      <c r="H6" s="217">
        <v>609610</v>
      </c>
      <c r="I6" s="215">
        <v>12.107029561859225</v>
      </c>
      <c r="J6" s="217">
        <v>628859</v>
      </c>
      <c r="K6" s="215">
        <f>(J6-H6)/H6*100</f>
        <v>3.157592559177179</v>
      </c>
    </row>
    <row r="7" spans="1:11" ht="24" customHeight="1">
      <c r="A7" s="209" t="s">
        <v>286</v>
      </c>
      <c r="B7" s="219"/>
      <c r="C7" s="205"/>
      <c r="D7" s="221"/>
      <c r="E7" s="205"/>
      <c r="F7" s="221"/>
      <c r="G7" s="205"/>
      <c r="H7" s="221"/>
      <c r="I7" s="205"/>
      <c r="J7" s="221"/>
      <c r="K7" s="205"/>
    </row>
    <row r="8" spans="1:11" ht="24" customHeight="1">
      <c r="A8" s="210" t="s">
        <v>287</v>
      </c>
      <c r="B8" s="219"/>
      <c r="C8" s="205"/>
      <c r="D8" s="221"/>
      <c r="E8" s="205"/>
      <c r="F8" s="221"/>
      <c r="G8" s="205"/>
      <c r="H8" s="221"/>
      <c r="I8" s="205"/>
      <c r="J8" s="221"/>
      <c r="K8" s="205"/>
    </row>
    <row r="9" spans="1:11" ht="24" customHeight="1">
      <c r="A9" s="211" t="s">
        <v>288</v>
      </c>
      <c r="B9" s="219">
        <v>2137244.86</v>
      </c>
      <c r="C9" s="205">
        <v>8.7072042778509928</v>
      </c>
      <c r="D9" s="221">
        <v>2286416</v>
      </c>
      <c r="E9" s="205">
        <v>6.9795998947916589</v>
      </c>
      <c r="F9" s="221">
        <v>2452761</v>
      </c>
      <c r="G9" s="205">
        <v>7.2753602144141754</v>
      </c>
      <c r="H9" s="221">
        <v>2696141</v>
      </c>
      <c r="I9" s="205">
        <v>9.9226952809507321</v>
      </c>
      <c r="J9" s="221">
        <v>2886059</v>
      </c>
      <c r="K9" s="205">
        <f>(J9-H9)/H9*100</f>
        <v>7.0440677991247496</v>
      </c>
    </row>
    <row r="10" spans="1:11" ht="24" customHeight="1">
      <c r="A10" s="211" t="s">
        <v>289</v>
      </c>
      <c r="B10" s="219">
        <v>574520.25</v>
      </c>
      <c r="C10" s="205">
        <v>11.794901861254315</v>
      </c>
      <c r="D10" s="221">
        <v>590451</v>
      </c>
      <c r="E10" s="205">
        <v>2.772878762759015</v>
      </c>
      <c r="F10" s="221">
        <v>626853</v>
      </c>
      <c r="G10" s="205">
        <v>6.165117850592174</v>
      </c>
      <c r="H10" s="221">
        <v>681958</v>
      </c>
      <c r="I10" s="205">
        <v>8.790737222283374</v>
      </c>
      <c r="J10" s="221">
        <v>736900</v>
      </c>
      <c r="K10" s="205">
        <f>(J10-H10)/H10*100</f>
        <v>8.0565078787843234</v>
      </c>
    </row>
    <row r="11" spans="1:11" ht="24" customHeight="1">
      <c r="A11" s="211" t="s">
        <v>290</v>
      </c>
      <c r="B11" s="219">
        <v>1206160.31</v>
      </c>
      <c r="C11" s="205">
        <v>3.9597764992941973</v>
      </c>
      <c r="D11" s="221">
        <v>1325826</v>
      </c>
      <c r="E11" s="205">
        <v>9.9212093954575522</v>
      </c>
      <c r="F11" s="221">
        <v>1395546</v>
      </c>
      <c r="G11" s="205">
        <v>5.2586085956980781</v>
      </c>
      <c r="H11" s="221">
        <v>1530896</v>
      </c>
      <c r="I11" s="205">
        <v>9.6987129051998284</v>
      </c>
      <c r="J11" s="221">
        <v>1505518</v>
      </c>
      <c r="K11" s="205">
        <f>(J11-H11)/H11*100</f>
        <v>-1.6577220137749396</v>
      </c>
    </row>
    <row r="12" spans="1:11" ht="24" customHeight="1" thickBot="1">
      <c r="A12" s="208" t="s">
        <v>291</v>
      </c>
      <c r="B12" s="216">
        <v>114071.67999999999</v>
      </c>
      <c r="C12" s="215">
        <v>32.512843055038758</v>
      </c>
      <c r="D12" s="217">
        <v>89464</v>
      </c>
      <c r="E12" s="215">
        <v>-21.572120266835725</v>
      </c>
      <c r="F12" s="217">
        <v>130963</v>
      </c>
      <c r="G12" s="215">
        <v>46.386255924170619</v>
      </c>
      <c r="H12" s="217">
        <v>165459</v>
      </c>
      <c r="I12" s="215">
        <v>26.340264044042971</v>
      </c>
      <c r="J12" s="217">
        <v>131690</v>
      </c>
      <c r="K12" s="215">
        <f>(J12-H12)/H12*100</f>
        <v>-20.409285684066745</v>
      </c>
    </row>
    <row r="13" spans="1:11" ht="24" customHeight="1">
      <c r="A13" s="209" t="s">
        <v>292</v>
      </c>
      <c r="B13" s="219"/>
      <c r="C13" s="205"/>
      <c r="D13" s="221"/>
      <c r="E13" s="205"/>
      <c r="F13" s="221"/>
      <c r="G13" s="205"/>
      <c r="H13" s="221"/>
      <c r="I13" s="205"/>
      <c r="J13" s="221"/>
      <c r="K13" s="205"/>
    </row>
    <row r="14" spans="1:11" ht="24" customHeight="1">
      <c r="A14" s="210" t="s">
        <v>287</v>
      </c>
      <c r="B14" s="219"/>
      <c r="C14" s="205"/>
      <c r="D14" s="221"/>
      <c r="E14" s="205"/>
      <c r="F14" s="221"/>
      <c r="G14" s="205"/>
      <c r="H14" s="221"/>
      <c r="I14" s="205"/>
      <c r="J14" s="221"/>
      <c r="K14" s="205"/>
    </row>
    <row r="15" spans="1:11" ht="24" customHeight="1">
      <c r="A15" s="211" t="s">
        <v>288</v>
      </c>
      <c r="B15" s="219">
        <v>432695.87</v>
      </c>
      <c r="C15" s="205">
        <v>9.9128520188277598</v>
      </c>
      <c r="D15" s="221">
        <v>464384</v>
      </c>
      <c r="E15" s="205">
        <v>7.3234186404413819</v>
      </c>
      <c r="F15" s="221">
        <v>492683</v>
      </c>
      <c r="G15" s="205">
        <v>6.0938792034178606</v>
      </c>
      <c r="H15" s="221">
        <v>530088</v>
      </c>
      <c r="I15" s="205">
        <v>7.5921028328560149</v>
      </c>
      <c r="J15" s="221">
        <v>545156</v>
      </c>
      <c r="K15" s="205">
        <f>(J15-H15)/H15*100</f>
        <v>2.8425468978735604</v>
      </c>
    </row>
    <row r="16" spans="1:11" ht="24" customHeight="1">
      <c r="A16" s="211" t="s">
        <v>289</v>
      </c>
      <c r="B16" s="219">
        <v>31346.32</v>
      </c>
      <c r="C16" s="205">
        <v>6.2406329499183499</v>
      </c>
      <c r="D16" s="221">
        <v>32933</v>
      </c>
      <c r="E16" s="205">
        <v>5.0617743964841821</v>
      </c>
      <c r="F16" s="221">
        <v>36174</v>
      </c>
      <c r="G16" s="205">
        <v>9.8411927246227187</v>
      </c>
      <c r="H16" s="221">
        <v>38728</v>
      </c>
      <c r="I16" s="205">
        <v>7.0603195665395031</v>
      </c>
      <c r="J16" s="221">
        <v>41004</v>
      </c>
      <c r="K16" s="205">
        <f>(J16-H16)/H16*100</f>
        <v>5.8768849411278659</v>
      </c>
    </row>
    <row r="17" spans="1:17" ht="24" customHeight="1">
      <c r="A17" s="211" t="s">
        <v>290</v>
      </c>
      <c r="B17" s="219">
        <v>26823.65</v>
      </c>
      <c r="C17" s="205">
        <v>2.83229537451817</v>
      </c>
      <c r="D17" s="221">
        <v>18545</v>
      </c>
      <c r="E17" s="205">
        <v>-30.863249408637532</v>
      </c>
      <c r="F17" s="221">
        <v>15129</v>
      </c>
      <c r="G17" s="205">
        <v>-18.420059315179294</v>
      </c>
      <c r="H17" s="221">
        <v>34092</v>
      </c>
      <c r="I17" s="205">
        <v>125.34205829863177</v>
      </c>
      <c r="J17" s="221">
        <v>41451</v>
      </c>
      <c r="K17" s="205">
        <f>(J17-H17)/H17*100</f>
        <v>21.585709257303769</v>
      </c>
    </row>
    <row r="18" spans="1:17" ht="24" customHeight="1" thickBot="1">
      <c r="A18" s="208" t="s">
        <v>291</v>
      </c>
      <c r="B18" s="216">
        <v>-2643.31</v>
      </c>
      <c r="C18" s="202" t="s">
        <v>36</v>
      </c>
      <c r="D18" s="217">
        <v>-2394</v>
      </c>
      <c r="E18" s="202" t="s">
        <v>36</v>
      </c>
      <c r="F18" s="217">
        <v>-212</v>
      </c>
      <c r="G18" s="202" t="s">
        <v>36</v>
      </c>
      <c r="H18" s="217">
        <v>6701</v>
      </c>
      <c r="I18" s="202" t="s">
        <v>36</v>
      </c>
      <c r="J18" s="217">
        <v>1247</v>
      </c>
      <c r="K18" s="205">
        <f>(J18-H18)/H18*100</f>
        <v>-81.390837188479338</v>
      </c>
    </row>
    <row r="19" spans="1:17" ht="7.5" customHeight="1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</row>
    <row r="20" spans="1:17" ht="7.5" customHeight="1">
      <c r="A20" s="206"/>
      <c r="B20" s="206"/>
      <c r="C20" s="206"/>
      <c r="D20" s="206"/>
      <c r="E20" s="206"/>
      <c r="F20" s="206"/>
      <c r="G20" s="206"/>
      <c r="H20" s="206"/>
      <c r="I20" s="206"/>
      <c r="J20" s="206"/>
      <c r="K20" s="206"/>
    </row>
    <row r="21" spans="1:17">
      <c r="A21" s="222" t="s">
        <v>298</v>
      </c>
    </row>
    <row r="22" spans="1:17">
      <c r="A22" s="222" t="s">
        <v>309</v>
      </c>
    </row>
    <row r="24" spans="1:17">
      <c r="B24" s="75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</row>
  </sheetData>
  <mergeCells count="7">
    <mergeCell ref="H3:H4"/>
    <mergeCell ref="J3:J4"/>
    <mergeCell ref="C24:Q24"/>
    <mergeCell ref="A3:A4"/>
    <mergeCell ref="B3:B4"/>
    <mergeCell ref="D3:D4"/>
    <mergeCell ref="F3:F4"/>
  </mergeCells>
  <phoneticPr fontId="2"/>
  <pageMargins left="0.74803149606299213" right="0.74803149606299213" top="0.98425196850393704" bottom="0.98425196850393704" header="0.31496062992125984" footer="0.31496062992125984"/>
  <pageSetup paperSize="9" scale="9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63EC-3033-4FD4-B680-F6C5EA03B6FC}">
  <sheetPr>
    <tabColor rgb="FFFFC000"/>
    <pageSetUpPr fitToPage="1"/>
  </sheetPr>
  <dimension ref="A1:AF38"/>
  <sheetViews>
    <sheetView view="pageBreakPreview" zoomScaleNormal="100" zoomScaleSheetLayoutView="100" workbookViewId="0">
      <selection sqref="A1:AB1"/>
    </sheetView>
  </sheetViews>
  <sheetFormatPr defaultColWidth="8" defaultRowHeight="12"/>
  <cols>
    <col min="1" max="7" width="0.6328125" style="98" customWidth="1"/>
    <col min="8" max="8" width="1.6328125" style="98" customWidth="1"/>
    <col min="9" max="12" width="0.6328125" style="98" customWidth="1"/>
    <col min="13" max="13" width="25.6328125" style="98" customWidth="1"/>
    <col min="14" max="14" width="0.6328125" style="98" customWidth="1"/>
    <col min="15" max="15" width="12.6328125" style="98" customWidth="1"/>
    <col min="16" max="16" width="10.6328125" style="98" customWidth="1"/>
    <col min="17" max="17" width="12.6328125" style="98" customWidth="1"/>
    <col min="18" max="18" width="10.6328125" style="98" customWidth="1"/>
    <col min="19" max="19" width="12.6328125" style="98" customWidth="1"/>
    <col min="20" max="20" width="10.6328125" style="98" customWidth="1"/>
    <col min="21" max="21" width="12.6328125" style="98" customWidth="1"/>
    <col min="22" max="22" width="10.6328125" style="98" customWidth="1"/>
    <col min="23" max="23" width="12.6328125" style="98" customWidth="1"/>
    <col min="24" max="24" width="10.6328125" style="98" customWidth="1"/>
    <col min="25" max="25" width="0.36328125" style="98" customWidth="1"/>
    <col min="26" max="26" width="10.6328125" style="98" hidden="1" customWidth="1"/>
    <col min="27" max="27" width="12.6328125" style="98" hidden="1" customWidth="1"/>
    <col min="28" max="28" width="10.6328125" style="98" hidden="1" customWidth="1"/>
    <col min="29" max="77" width="9" style="98" customWidth="1"/>
    <col min="78" max="16384" width="8" style="98"/>
  </cols>
  <sheetData>
    <row r="1" spans="1:28" ht="18.75" customHeight="1">
      <c r="A1" s="298" t="s">
        <v>281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</row>
    <row r="2" spans="1:28" ht="15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0"/>
      <c r="P2" s="101"/>
      <c r="Q2" s="100"/>
      <c r="R2" s="101"/>
      <c r="S2" s="100"/>
      <c r="T2" s="101"/>
      <c r="V2" s="101"/>
      <c r="X2" s="101" t="s">
        <v>3</v>
      </c>
    </row>
    <row r="3" spans="1:28" ht="15" customHeight="1">
      <c r="A3" s="331" t="s">
        <v>183</v>
      </c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28">
        <v>2014</v>
      </c>
      <c r="P3" s="102"/>
      <c r="Q3" s="328">
        <v>2015</v>
      </c>
      <c r="R3" s="102"/>
      <c r="S3" s="328">
        <v>2016</v>
      </c>
      <c r="T3" s="102"/>
      <c r="U3" s="328">
        <v>2017</v>
      </c>
      <c r="V3" s="102"/>
      <c r="W3" s="328">
        <v>2018</v>
      </c>
      <c r="X3" s="102"/>
    </row>
    <row r="4" spans="1:28" ht="15" customHeight="1">
      <c r="A4" s="333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5"/>
      <c r="O4" s="329"/>
      <c r="P4" s="339" t="s">
        <v>151</v>
      </c>
      <c r="Q4" s="329"/>
      <c r="R4" s="339" t="s">
        <v>151</v>
      </c>
      <c r="S4" s="329"/>
      <c r="T4" s="339" t="s">
        <v>151</v>
      </c>
      <c r="U4" s="329"/>
      <c r="V4" s="339" t="s">
        <v>151</v>
      </c>
      <c r="W4" s="329"/>
      <c r="X4" s="339" t="s">
        <v>184</v>
      </c>
    </row>
    <row r="5" spans="1:28" ht="12" customHeight="1">
      <c r="A5" s="336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8"/>
      <c r="O5" s="330"/>
      <c r="P5" s="340"/>
      <c r="Q5" s="330"/>
      <c r="R5" s="340"/>
      <c r="S5" s="330"/>
      <c r="T5" s="340"/>
      <c r="U5" s="330"/>
      <c r="V5" s="341"/>
      <c r="W5" s="330"/>
      <c r="X5" s="341"/>
    </row>
    <row r="6" spans="1:28" ht="25" customHeight="1">
      <c r="A6" s="103"/>
      <c r="B6" s="342" t="s">
        <v>283</v>
      </c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104"/>
      <c r="O6" s="105">
        <v>417316.21</v>
      </c>
      <c r="P6" s="106">
        <v>7.9234622984559699</v>
      </c>
      <c r="Q6" s="105">
        <v>445901.24</v>
      </c>
      <c r="R6" s="106">
        <v>6.8497291298605401</v>
      </c>
      <c r="S6" s="105">
        <v>448063.03</v>
      </c>
      <c r="T6" s="106">
        <v>0.48481363272279698</v>
      </c>
      <c r="U6" s="105">
        <v>474674.9</v>
      </c>
      <c r="V6" s="106">
        <v>5.9393139398267198</v>
      </c>
      <c r="W6" s="105">
        <v>509118</v>
      </c>
      <c r="X6" s="106">
        <v>7.2561452059082896</v>
      </c>
    </row>
    <row r="7" spans="1:28" ht="15.65" customHeight="1">
      <c r="A7" s="103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4"/>
      <c r="O7" s="108">
        <v>413059.5</v>
      </c>
      <c r="P7" s="109">
        <v>8.1074909999999996</v>
      </c>
      <c r="Q7" s="108">
        <v>442092.73</v>
      </c>
      <c r="R7" s="109">
        <v>7.0288250000000003</v>
      </c>
      <c r="S7" s="108">
        <v>444162.67</v>
      </c>
      <c r="T7" s="109">
        <v>0.46821400000000002</v>
      </c>
      <c r="U7" s="108">
        <v>472396.98</v>
      </c>
      <c r="V7" s="109">
        <v>6.3567499999999999</v>
      </c>
      <c r="W7" s="108">
        <v>505579.6</v>
      </c>
      <c r="X7" s="109">
        <v>7.0243080000000004</v>
      </c>
    </row>
    <row r="8" spans="1:28" ht="15.65" customHeight="1">
      <c r="A8" s="103"/>
      <c r="B8" s="110"/>
      <c r="C8" s="110"/>
      <c r="D8" s="343" t="s">
        <v>284</v>
      </c>
      <c r="E8" s="343"/>
      <c r="F8" s="343"/>
      <c r="G8" s="343"/>
      <c r="H8" s="343"/>
      <c r="I8" s="343"/>
      <c r="J8" s="343"/>
      <c r="K8" s="343"/>
      <c r="L8" s="343"/>
      <c r="M8" s="343"/>
      <c r="N8" s="104"/>
      <c r="O8" s="105">
        <v>19088.2</v>
      </c>
      <c r="P8" s="106">
        <v>9.7779450000000008</v>
      </c>
      <c r="Q8" s="105">
        <v>19535.849999999999</v>
      </c>
      <c r="R8" s="106">
        <v>2.3451659999999999</v>
      </c>
      <c r="S8" s="105">
        <v>18682.740000000002</v>
      </c>
      <c r="T8" s="106">
        <v>-4.3668950000000004</v>
      </c>
      <c r="U8" s="105">
        <v>20199.45</v>
      </c>
      <c r="V8" s="106">
        <v>8.1182420000000004</v>
      </c>
      <c r="W8" s="105">
        <v>17841.46</v>
      </c>
      <c r="X8" s="106">
        <v>-11.673536</v>
      </c>
    </row>
    <row r="9" spans="1:28" ht="15.65" customHeight="1">
      <c r="A9" s="103"/>
      <c r="B9" s="110"/>
      <c r="C9" s="110"/>
      <c r="D9" s="111"/>
      <c r="E9" s="111"/>
      <c r="F9" s="110"/>
      <c r="G9" s="110"/>
      <c r="H9" s="110"/>
      <c r="I9" s="110"/>
      <c r="J9" s="110"/>
      <c r="K9" s="110"/>
      <c r="L9" s="112"/>
      <c r="M9" s="112"/>
      <c r="N9" s="104"/>
      <c r="O9" s="108">
        <v>18299.61</v>
      </c>
      <c r="P9" s="109">
        <v>18.758384</v>
      </c>
      <c r="Q9" s="108">
        <v>17618.580000000002</v>
      </c>
      <c r="R9" s="109">
        <v>-3.7215549999999999</v>
      </c>
      <c r="S9" s="108">
        <v>17274.68</v>
      </c>
      <c r="T9" s="109">
        <v>-1.9519169999999999</v>
      </c>
      <c r="U9" s="108">
        <v>18868.28</v>
      </c>
      <c r="V9" s="109">
        <v>9.2250619999999994</v>
      </c>
      <c r="W9" s="108">
        <v>18223.55</v>
      </c>
      <c r="X9" s="109">
        <v>-3.4170050000000001</v>
      </c>
    </row>
    <row r="10" spans="1:28" ht="15.65" customHeight="1">
      <c r="A10" s="103"/>
      <c r="B10" s="110"/>
      <c r="C10" s="110"/>
      <c r="D10" s="110"/>
      <c r="E10" s="110"/>
      <c r="F10" s="327" t="s">
        <v>185</v>
      </c>
      <c r="G10" s="327"/>
      <c r="H10" s="327"/>
      <c r="I10" s="327"/>
      <c r="J10" s="327"/>
      <c r="K10" s="327"/>
      <c r="L10" s="327"/>
      <c r="M10" s="327"/>
      <c r="N10" s="104"/>
      <c r="O10" s="105">
        <v>10107.98</v>
      </c>
      <c r="P10" s="106">
        <v>-6.1257089999999996</v>
      </c>
      <c r="Q10" s="105">
        <v>10910.11</v>
      </c>
      <c r="R10" s="106">
        <v>7.9356109999999997</v>
      </c>
      <c r="S10" s="105">
        <v>9935.35</v>
      </c>
      <c r="T10" s="106">
        <v>-8.9344649999999994</v>
      </c>
      <c r="U10" s="105">
        <v>9392.56</v>
      </c>
      <c r="V10" s="106">
        <v>-5.4632199999999997</v>
      </c>
      <c r="W10" s="105">
        <v>9038.24</v>
      </c>
      <c r="X10" s="106">
        <v>-3.7723469999999999</v>
      </c>
    </row>
    <row r="11" spans="1:28" ht="15.65" customHeight="1">
      <c r="A11" s="103"/>
      <c r="B11" s="110"/>
      <c r="C11" s="110"/>
      <c r="D11" s="110"/>
      <c r="E11" s="110"/>
      <c r="F11" s="327" t="s">
        <v>186</v>
      </c>
      <c r="G11" s="327"/>
      <c r="H11" s="327"/>
      <c r="I11" s="327"/>
      <c r="J11" s="327"/>
      <c r="K11" s="327"/>
      <c r="L11" s="327"/>
      <c r="M11" s="327"/>
      <c r="N11" s="104"/>
      <c r="O11" s="105">
        <v>2901.98</v>
      </c>
      <c r="P11" s="106">
        <v>50.177242999999997</v>
      </c>
      <c r="Q11" s="105">
        <v>2744.18</v>
      </c>
      <c r="R11" s="106">
        <v>-5.4376670000000003</v>
      </c>
      <c r="S11" s="105">
        <v>2829.35</v>
      </c>
      <c r="T11" s="106">
        <v>3.1036589999999999</v>
      </c>
      <c r="U11" s="105">
        <v>3656.24</v>
      </c>
      <c r="V11" s="106">
        <v>29.225439999999999</v>
      </c>
      <c r="W11" s="105">
        <v>1195.6300000000001</v>
      </c>
      <c r="X11" s="106">
        <v>-67.298918999999998</v>
      </c>
    </row>
    <row r="12" spans="1:28" ht="15.65" customHeight="1">
      <c r="A12" s="103"/>
      <c r="B12" s="110"/>
      <c r="C12" s="110"/>
      <c r="D12" s="110"/>
      <c r="E12" s="110"/>
      <c r="F12" s="327" t="s">
        <v>187</v>
      </c>
      <c r="G12" s="327"/>
      <c r="H12" s="327"/>
      <c r="I12" s="327"/>
      <c r="J12" s="327"/>
      <c r="K12" s="327"/>
      <c r="L12" s="327"/>
      <c r="M12" s="327"/>
      <c r="N12" s="104"/>
      <c r="O12" s="105">
        <v>1131.58</v>
      </c>
      <c r="P12" s="106">
        <v>18.736228000000001</v>
      </c>
      <c r="Q12" s="105">
        <v>1451.96</v>
      </c>
      <c r="R12" s="106">
        <v>28.312625000000001</v>
      </c>
      <c r="S12" s="105">
        <v>1296.7</v>
      </c>
      <c r="T12" s="106">
        <v>-10.693132</v>
      </c>
      <c r="U12" s="105">
        <v>1118.8599999999999</v>
      </c>
      <c r="V12" s="106">
        <v>-13.714815</v>
      </c>
      <c r="W12" s="105">
        <v>1148.6199999999999</v>
      </c>
      <c r="X12" s="106">
        <v>2.65985</v>
      </c>
    </row>
    <row r="13" spans="1:28" ht="15.65" customHeight="1">
      <c r="A13" s="103"/>
      <c r="B13" s="110"/>
      <c r="C13" s="110"/>
      <c r="D13" s="110"/>
      <c r="E13" s="110"/>
      <c r="F13" s="327" t="s">
        <v>188</v>
      </c>
      <c r="G13" s="327"/>
      <c r="H13" s="327"/>
      <c r="I13" s="327"/>
      <c r="J13" s="327"/>
      <c r="K13" s="327"/>
      <c r="L13" s="327"/>
      <c r="M13" s="327"/>
      <c r="N13" s="104"/>
      <c r="O13" s="105">
        <v>810.59</v>
      </c>
      <c r="P13" s="106">
        <v>111.080152</v>
      </c>
      <c r="Q13" s="105">
        <v>400.04</v>
      </c>
      <c r="R13" s="106">
        <v>-50.648293000000002</v>
      </c>
      <c r="S13" s="105">
        <v>473.51</v>
      </c>
      <c r="T13" s="106">
        <v>18.365663000000001</v>
      </c>
      <c r="U13" s="105">
        <v>623.53</v>
      </c>
      <c r="V13" s="106">
        <v>31.682541000000001</v>
      </c>
      <c r="W13" s="105">
        <v>916.38</v>
      </c>
      <c r="X13" s="106">
        <v>46.966464999999999</v>
      </c>
    </row>
    <row r="14" spans="1:28" ht="15.65" customHeight="1">
      <c r="A14" s="103"/>
      <c r="B14" s="110"/>
      <c r="C14" s="110"/>
      <c r="D14" s="110"/>
      <c r="E14" s="110"/>
      <c r="F14" s="327" t="s">
        <v>189</v>
      </c>
      <c r="G14" s="327"/>
      <c r="H14" s="327"/>
      <c r="I14" s="327"/>
      <c r="J14" s="327"/>
      <c r="K14" s="327"/>
      <c r="L14" s="327"/>
      <c r="M14" s="327"/>
      <c r="N14" s="104"/>
      <c r="O14" s="105">
        <v>2799.92</v>
      </c>
      <c r="P14" s="106">
        <v>63.475113</v>
      </c>
      <c r="Q14" s="105">
        <v>2835.87</v>
      </c>
      <c r="R14" s="106">
        <v>1.283965</v>
      </c>
      <c r="S14" s="105">
        <v>2870.19</v>
      </c>
      <c r="T14" s="106">
        <v>1.2102109999999999</v>
      </c>
      <c r="U14" s="105">
        <v>3673.93</v>
      </c>
      <c r="V14" s="106">
        <v>28.003024</v>
      </c>
      <c r="W14" s="105">
        <v>3919.8</v>
      </c>
      <c r="X14" s="106">
        <v>6.6922889999999997</v>
      </c>
    </row>
    <row r="15" spans="1:28" ht="15.65" customHeight="1">
      <c r="A15" s="103"/>
      <c r="B15" s="110"/>
      <c r="C15" s="110"/>
      <c r="D15" s="110"/>
      <c r="E15" s="110"/>
      <c r="F15" s="327" t="s">
        <v>190</v>
      </c>
      <c r="G15" s="327"/>
      <c r="H15" s="327"/>
      <c r="I15" s="327"/>
      <c r="J15" s="327"/>
      <c r="K15" s="327"/>
      <c r="L15" s="327"/>
      <c r="M15" s="327"/>
      <c r="N15" s="104"/>
      <c r="O15" s="105">
        <v>1017.75</v>
      </c>
      <c r="P15" s="106">
        <v>-21.873801</v>
      </c>
      <c r="Q15" s="105">
        <v>573.99</v>
      </c>
      <c r="R15" s="106">
        <v>-43.602063000000001</v>
      </c>
      <c r="S15" s="105">
        <v>716.29</v>
      </c>
      <c r="T15" s="106">
        <v>24.791373</v>
      </c>
      <c r="U15" s="105">
        <v>998.67</v>
      </c>
      <c r="V15" s="106">
        <v>39.422580000000004</v>
      </c>
      <c r="W15" s="105">
        <v>1011.04</v>
      </c>
      <c r="X15" s="106">
        <v>1.2386470000000001</v>
      </c>
    </row>
    <row r="16" spans="1:28" ht="15.65" customHeight="1">
      <c r="A16" s="103"/>
      <c r="B16" s="110"/>
      <c r="C16" s="110"/>
      <c r="D16" s="110"/>
      <c r="E16" s="110"/>
      <c r="F16" s="327" t="s">
        <v>160</v>
      </c>
      <c r="G16" s="327"/>
      <c r="H16" s="327"/>
      <c r="I16" s="327"/>
      <c r="J16" s="327"/>
      <c r="K16" s="327"/>
      <c r="L16" s="327"/>
      <c r="M16" s="327"/>
      <c r="N16" s="104"/>
      <c r="O16" s="105">
        <v>318.39999999999998</v>
      </c>
      <c r="P16" s="106">
        <v>-5.1194949999999997</v>
      </c>
      <c r="Q16" s="105">
        <v>619.70000000000005</v>
      </c>
      <c r="R16" s="106">
        <v>94.629396999999997</v>
      </c>
      <c r="S16" s="105">
        <v>561.35</v>
      </c>
      <c r="T16" s="106">
        <v>-9.4158460000000002</v>
      </c>
      <c r="U16" s="105">
        <v>735.66</v>
      </c>
      <c r="V16" s="106">
        <v>31.051928</v>
      </c>
      <c r="W16" s="105">
        <v>611.75</v>
      </c>
      <c r="X16" s="106">
        <v>-16.843378999999999</v>
      </c>
    </row>
    <row r="17" spans="1:32" ht="27" customHeight="1">
      <c r="A17" s="113"/>
      <c r="B17" s="326" t="s">
        <v>285</v>
      </c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114"/>
      <c r="O17" s="115"/>
      <c r="P17" s="116"/>
      <c r="Q17" s="115"/>
      <c r="R17" s="116"/>
      <c r="S17" s="115"/>
      <c r="T17" s="116"/>
      <c r="U17" s="115"/>
      <c r="V17" s="116"/>
      <c r="W17" s="115"/>
      <c r="X17" s="116"/>
    </row>
    <row r="18" spans="1:32" ht="26.15" customHeight="1">
      <c r="A18" s="117"/>
      <c r="B18" s="118"/>
      <c r="C18" s="118"/>
      <c r="D18" s="325" t="s">
        <v>191</v>
      </c>
      <c r="E18" s="325"/>
      <c r="F18" s="325"/>
      <c r="G18" s="325"/>
      <c r="H18" s="325"/>
      <c r="I18" s="325"/>
      <c r="J18" s="325"/>
      <c r="K18" s="325"/>
      <c r="L18" s="325"/>
      <c r="M18" s="325"/>
      <c r="N18" s="104"/>
      <c r="O18" s="105"/>
      <c r="P18" s="106"/>
      <c r="Q18" s="105"/>
      <c r="R18" s="106"/>
      <c r="S18" s="105"/>
      <c r="T18" s="106"/>
      <c r="U18" s="105"/>
      <c r="V18" s="106"/>
      <c r="W18" s="105"/>
      <c r="X18" s="106"/>
    </row>
    <row r="19" spans="1:32" ht="26.15" customHeight="1">
      <c r="A19" s="117"/>
      <c r="B19" s="118"/>
      <c r="C19" s="118"/>
      <c r="D19" s="119"/>
      <c r="E19" s="119"/>
      <c r="F19" s="325" t="s">
        <v>192</v>
      </c>
      <c r="G19" s="325"/>
      <c r="H19" s="325"/>
      <c r="I19" s="325"/>
      <c r="J19" s="325"/>
      <c r="K19" s="325"/>
      <c r="L19" s="325"/>
      <c r="M19" s="325"/>
      <c r="N19" s="104"/>
      <c r="O19" s="105">
        <v>206260.07</v>
      </c>
      <c r="P19" s="106">
        <v>4.5089204712516704</v>
      </c>
      <c r="Q19" s="105">
        <v>217725.79</v>
      </c>
      <c r="R19" s="106">
        <v>5.5588655622971501</v>
      </c>
      <c r="S19" s="105">
        <v>215570.1</v>
      </c>
      <c r="T19" s="106">
        <v>-0.99009400769656097</v>
      </c>
      <c r="U19" s="105">
        <v>230528.63</v>
      </c>
      <c r="V19" s="106">
        <v>6.9390560193644601</v>
      </c>
      <c r="W19" s="105">
        <v>265913.96999999997</v>
      </c>
      <c r="X19" s="106">
        <v>15.349650930558999</v>
      </c>
    </row>
    <row r="20" spans="1:32" ht="26.15" customHeight="1">
      <c r="A20" s="117"/>
      <c r="B20" s="118"/>
      <c r="C20" s="118"/>
      <c r="D20" s="119"/>
      <c r="E20" s="119"/>
      <c r="F20" s="325" t="s">
        <v>169</v>
      </c>
      <c r="G20" s="325"/>
      <c r="H20" s="325"/>
      <c r="I20" s="325"/>
      <c r="J20" s="325"/>
      <c r="K20" s="325"/>
      <c r="L20" s="325"/>
      <c r="M20" s="325"/>
      <c r="N20" s="104"/>
      <c r="O20" s="105">
        <v>50180.46</v>
      </c>
      <c r="P20" s="106">
        <v>2.90575883483366</v>
      </c>
      <c r="Q20" s="105">
        <v>61480.37</v>
      </c>
      <c r="R20" s="106">
        <v>22.518546063547401</v>
      </c>
      <c r="S20" s="105">
        <v>66546.94</v>
      </c>
      <c r="T20" s="106">
        <v>8.2409556090830201</v>
      </c>
      <c r="U20" s="105">
        <v>71295.839999999997</v>
      </c>
      <c r="V20" s="106">
        <v>7.1361658402324704</v>
      </c>
      <c r="W20" s="105">
        <v>73338.16</v>
      </c>
      <c r="X20" s="106">
        <v>2.8645710605275099</v>
      </c>
    </row>
    <row r="21" spans="1:32" ht="26.15" customHeight="1">
      <c r="A21" s="117"/>
      <c r="B21" s="118"/>
      <c r="C21" s="118"/>
      <c r="D21" s="119"/>
      <c r="E21" s="119"/>
      <c r="F21" s="325" t="s">
        <v>170</v>
      </c>
      <c r="G21" s="325"/>
      <c r="H21" s="325"/>
      <c r="I21" s="325"/>
      <c r="J21" s="325"/>
      <c r="K21" s="325"/>
      <c r="L21" s="325"/>
      <c r="M21" s="325"/>
      <c r="N21" s="104"/>
      <c r="O21" s="105">
        <v>117208.71</v>
      </c>
      <c r="P21" s="106">
        <v>12.4693311153317</v>
      </c>
      <c r="Q21" s="105">
        <v>128775.59</v>
      </c>
      <c r="R21" s="106">
        <v>9.8686181257348498</v>
      </c>
      <c r="S21" s="105">
        <v>134172.89000000001</v>
      </c>
      <c r="T21" s="106">
        <v>4.1912446295140198</v>
      </c>
      <c r="U21" s="105">
        <v>137931.01999999999</v>
      </c>
      <c r="V21" s="106">
        <v>2.8009607604039801</v>
      </c>
      <c r="W21" s="105">
        <v>128695.43</v>
      </c>
      <c r="X21" s="106">
        <v>-6.6958034530593604</v>
      </c>
    </row>
    <row r="22" spans="1:32" ht="26.15" customHeight="1">
      <c r="A22" s="117"/>
      <c r="B22" s="120"/>
      <c r="C22" s="120"/>
      <c r="D22" s="121"/>
      <c r="E22" s="119"/>
      <c r="F22" s="317" t="s">
        <v>193</v>
      </c>
      <c r="G22" s="317"/>
      <c r="H22" s="317"/>
      <c r="I22" s="317"/>
      <c r="J22" s="317"/>
      <c r="K22" s="317"/>
      <c r="L22" s="317"/>
      <c r="M22" s="317"/>
      <c r="N22" s="122"/>
      <c r="O22" s="123">
        <v>43666.97</v>
      </c>
      <c r="P22" s="106">
        <v>20.164653785105202</v>
      </c>
      <c r="Q22" s="123">
        <v>37919.49</v>
      </c>
      <c r="R22" s="106">
        <v>-13.162076507712801</v>
      </c>
      <c r="S22" s="123">
        <v>31773.1</v>
      </c>
      <c r="T22" s="106">
        <v>-16.2090523896814</v>
      </c>
      <c r="U22" s="123">
        <v>34919.410000000003</v>
      </c>
      <c r="V22" s="106">
        <v>9.9024331903402505</v>
      </c>
      <c r="W22" s="123">
        <v>41170.44</v>
      </c>
      <c r="X22" s="106">
        <v>17.901304747130599</v>
      </c>
    </row>
    <row r="23" spans="1:32" ht="26.15" customHeight="1">
      <c r="A23" s="113"/>
      <c r="B23" s="326" t="s">
        <v>194</v>
      </c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104"/>
      <c r="O23" s="124"/>
      <c r="P23" s="116"/>
      <c r="Q23" s="124"/>
      <c r="R23" s="116"/>
      <c r="S23" s="124"/>
      <c r="T23" s="116"/>
      <c r="U23" s="124"/>
      <c r="V23" s="116"/>
      <c r="W23" s="124"/>
      <c r="X23" s="116"/>
    </row>
    <row r="24" spans="1:32" ht="26.15" customHeight="1">
      <c r="A24" s="117"/>
      <c r="B24" s="118"/>
      <c r="C24" s="118"/>
      <c r="D24" s="325" t="s">
        <v>195</v>
      </c>
      <c r="E24" s="325"/>
      <c r="F24" s="325"/>
      <c r="G24" s="325"/>
      <c r="H24" s="325"/>
      <c r="I24" s="325"/>
      <c r="J24" s="325"/>
      <c r="K24" s="325"/>
      <c r="L24" s="325"/>
      <c r="M24" s="325"/>
      <c r="N24" s="104"/>
      <c r="O24" s="105"/>
      <c r="P24" s="106"/>
      <c r="Q24" s="105"/>
      <c r="R24" s="106"/>
      <c r="S24" s="105"/>
      <c r="T24" s="106"/>
      <c r="U24" s="105"/>
      <c r="V24" s="106"/>
      <c r="W24" s="105"/>
      <c r="X24" s="106"/>
    </row>
    <row r="25" spans="1:32" ht="26.15" customHeight="1">
      <c r="A25" s="117"/>
      <c r="B25" s="118"/>
      <c r="C25" s="118"/>
      <c r="D25" s="119"/>
      <c r="E25" s="119"/>
      <c r="F25" s="325" t="s">
        <v>196</v>
      </c>
      <c r="G25" s="325"/>
      <c r="H25" s="325"/>
      <c r="I25" s="325"/>
      <c r="J25" s="325"/>
      <c r="K25" s="325"/>
      <c r="L25" s="325"/>
      <c r="M25" s="325"/>
      <c r="N25" s="104"/>
      <c r="O25" s="105">
        <v>17065.29</v>
      </c>
      <c r="P25" s="106">
        <v>3.3993039999999999</v>
      </c>
      <c r="Q25" s="105">
        <v>17565.7</v>
      </c>
      <c r="R25" s="106">
        <v>2.9323260000000002</v>
      </c>
      <c r="S25" s="105">
        <v>17033.5</v>
      </c>
      <c r="T25" s="106">
        <v>-3.0297679999999998</v>
      </c>
      <c r="U25" s="105">
        <v>17968.41</v>
      </c>
      <c r="V25" s="106">
        <v>5.4886549999999996</v>
      </c>
      <c r="W25" s="105">
        <v>15926.32</v>
      </c>
      <c r="X25" s="106">
        <v>-11.364890000000001</v>
      </c>
    </row>
    <row r="26" spans="1:32" ht="26.15" customHeight="1">
      <c r="A26" s="117"/>
      <c r="B26" s="118"/>
      <c r="C26" s="118"/>
      <c r="D26" s="119"/>
      <c r="E26" s="119"/>
      <c r="F26" s="325" t="s">
        <v>197</v>
      </c>
      <c r="G26" s="325"/>
      <c r="H26" s="325"/>
      <c r="I26" s="325"/>
      <c r="J26" s="325"/>
      <c r="K26" s="325"/>
      <c r="L26" s="325"/>
      <c r="M26" s="325"/>
      <c r="N26" s="104"/>
      <c r="O26" s="105">
        <v>679.03</v>
      </c>
      <c r="P26" s="106">
        <v>43.500497000000003</v>
      </c>
      <c r="Q26" s="105">
        <v>762.41</v>
      </c>
      <c r="R26" s="106">
        <v>12.279280999999999</v>
      </c>
      <c r="S26" s="105">
        <v>798.61</v>
      </c>
      <c r="T26" s="106">
        <v>4.7481010000000001</v>
      </c>
      <c r="U26" s="105">
        <v>1126.31</v>
      </c>
      <c r="V26" s="106">
        <v>41.035561999999999</v>
      </c>
      <c r="W26" s="105">
        <v>861.68</v>
      </c>
      <c r="X26" s="106">
        <v>-23.495308000000001</v>
      </c>
    </row>
    <row r="27" spans="1:32" ht="26.15" customHeight="1">
      <c r="A27" s="117"/>
      <c r="B27" s="118"/>
      <c r="C27" s="118"/>
      <c r="D27" s="119"/>
      <c r="E27" s="119"/>
      <c r="F27" s="325" t="s">
        <v>198</v>
      </c>
      <c r="G27" s="325"/>
      <c r="H27" s="325"/>
      <c r="I27" s="325"/>
      <c r="J27" s="325"/>
      <c r="K27" s="325"/>
      <c r="L27" s="325"/>
      <c r="M27" s="325"/>
      <c r="N27" s="104"/>
      <c r="O27" s="105">
        <v>648.41999999999996</v>
      </c>
      <c r="P27" s="106">
        <v>100.48233</v>
      </c>
      <c r="Q27" s="105">
        <v>624.98</v>
      </c>
      <c r="R27" s="106">
        <v>-3.614941</v>
      </c>
      <c r="S27" s="105">
        <v>452.94</v>
      </c>
      <c r="T27" s="106">
        <v>-27.527280999999999</v>
      </c>
      <c r="U27" s="105">
        <v>636.61</v>
      </c>
      <c r="V27" s="106">
        <v>40.550624999999997</v>
      </c>
      <c r="W27" s="105">
        <v>701.29</v>
      </c>
      <c r="X27" s="106">
        <v>10.160067</v>
      </c>
    </row>
    <row r="28" spans="1:32" ht="26.15" customHeight="1">
      <c r="A28" s="125"/>
      <c r="B28" s="120"/>
      <c r="C28" s="120"/>
      <c r="D28" s="121"/>
      <c r="E28" s="126"/>
      <c r="F28" s="317" t="s">
        <v>199</v>
      </c>
      <c r="G28" s="317"/>
      <c r="H28" s="317"/>
      <c r="I28" s="317"/>
      <c r="J28" s="317"/>
      <c r="K28" s="317"/>
      <c r="L28" s="317"/>
      <c r="M28" s="317"/>
      <c r="N28" s="122"/>
      <c r="O28" s="123">
        <v>695.46</v>
      </c>
      <c r="P28" s="127">
        <v>698.18661799999995</v>
      </c>
      <c r="Q28" s="123">
        <v>582.76</v>
      </c>
      <c r="R28" s="127">
        <v>-16.205102</v>
      </c>
      <c r="S28" s="123">
        <v>397.69</v>
      </c>
      <c r="T28" s="127">
        <v>-31.757498999999999</v>
      </c>
      <c r="U28" s="123">
        <v>468.12</v>
      </c>
      <c r="V28" s="127">
        <v>17.709773999999999</v>
      </c>
      <c r="W28" s="123">
        <v>352.17</v>
      </c>
      <c r="X28" s="127">
        <v>-24.769290000000002</v>
      </c>
    </row>
    <row r="29" spans="1:32" ht="15" customHeight="1">
      <c r="A29" s="129"/>
      <c r="B29" s="129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28"/>
    </row>
    <row r="30" spans="1:32" ht="15" customHeight="1">
      <c r="A30" s="318" t="s">
        <v>172</v>
      </c>
      <c r="B30" s="319"/>
      <c r="C30" s="319"/>
      <c r="D30" s="319"/>
      <c r="E30" s="319"/>
      <c r="F30" s="319"/>
      <c r="G30" s="133"/>
      <c r="H30" s="141" t="s">
        <v>1</v>
      </c>
      <c r="I30" s="320" t="s">
        <v>245</v>
      </c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  <c r="AA30" s="321"/>
      <c r="AB30" s="321"/>
      <c r="AC30" s="135"/>
      <c r="AD30" s="135"/>
      <c r="AE30" s="135"/>
      <c r="AF30" s="135"/>
    </row>
    <row r="31" spans="1:32" ht="15" customHeight="1">
      <c r="A31" s="131"/>
      <c r="B31" s="132"/>
      <c r="C31" s="132"/>
      <c r="D31" s="132"/>
      <c r="E31" s="132"/>
      <c r="F31" s="132"/>
      <c r="G31" s="133"/>
      <c r="H31" s="178" t="s">
        <v>2</v>
      </c>
      <c r="I31" s="136" t="s">
        <v>201</v>
      </c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5"/>
      <c r="AD31" s="135"/>
      <c r="AE31" s="135"/>
      <c r="AF31" s="135"/>
    </row>
    <row r="32" spans="1:32" ht="15" customHeight="1">
      <c r="A32" s="131"/>
      <c r="B32" s="132"/>
      <c r="C32" s="132"/>
      <c r="D32" s="132"/>
      <c r="E32" s="132"/>
      <c r="F32" s="132"/>
      <c r="G32" s="133"/>
      <c r="H32" s="141" t="s">
        <v>200</v>
      </c>
      <c r="I32" s="314" t="s">
        <v>203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6"/>
      <c r="AD32" s="316"/>
      <c r="AE32" s="316"/>
      <c r="AF32" s="316"/>
    </row>
    <row r="33" spans="1:32" ht="15" customHeight="1">
      <c r="A33" s="133"/>
      <c r="B33" s="133"/>
      <c r="C33" s="137"/>
      <c r="D33" s="133"/>
      <c r="E33" s="133"/>
      <c r="F33" s="133"/>
      <c r="G33" s="133"/>
      <c r="H33" s="178" t="s">
        <v>202</v>
      </c>
      <c r="I33" s="139" t="s">
        <v>204</v>
      </c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140"/>
      <c r="AE33" s="140"/>
      <c r="AF33" s="140"/>
    </row>
    <row r="34" spans="1:32" ht="15" customHeight="1">
      <c r="A34" s="138"/>
      <c r="B34" s="138"/>
      <c r="C34" s="138"/>
      <c r="D34" s="138"/>
      <c r="E34" s="138"/>
      <c r="F34" s="138"/>
      <c r="G34" s="138"/>
      <c r="H34" s="178" t="s">
        <v>304</v>
      </c>
      <c r="I34" s="139" t="s">
        <v>205</v>
      </c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135"/>
      <c r="AE34" s="135"/>
      <c r="AF34" s="135"/>
    </row>
    <row r="35" spans="1:32" ht="15" customHeight="1">
      <c r="A35" s="138"/>
      <c r="B35" s="138"/>
      <c r="C35" s="138"/>
      <c r="D35" s="138"/>
      <c r="E35" s="138"/>
      <c r="F35" s="138"/>
      <c r="G35" s="138"/>
      <c r="H35" s="178"/>
      <c r="I35" s="323" t="s">
        <v>206</v>
      </c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16"/>
      <c r="AE35" s="316"/>
      <c r="AF35" s="316"/>
    </row>
    <row r="36" spans="1:32" ht="13">
      <c r="H36" s="178" t="s">
        <v>305</v>
      </c>
      <c r="I36" s="139" t="s">
        <v>207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135"/>
      <c r="AE36" s="135"/>
      <c r="AF36" s="135"/>
    </row>
    <row r="37" spans="1:32" ht="13">
      <c r="H37" s="141"/>
      <c r="I37" s="314" t="s">
        <v>208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6"/>
      <c r="AD37" s="316"/>
      <c r="AE37" s="316"/>
      <c r="AF37" s="316"/>
    </row>
    <row r="38" spans="1:32" ht="13">
      <c r="H38" s="179"/>
      <c r="I38" s="322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134"/>
      <c r="U38" s="134"/>
      <c r="V38" s="134"/>
      <c r="W38" s="134"/>
      <c r="X38" s="134"/>
      <c r="Y38" s="134"/>
      <c r="Z38" s="134"/>
      <c r="AA38" s="134"/>
      <c r="AB38" s="134"/>
      <c r="AC38" s="135"/>
      <c r="AD38" s="135"/>
      <c r="AE38" s="135"/>
      <c r="AF38" s="135"/>
    </row>
  </sheetData>
  <mergeCells count="39">
    <mergeCell ref="S3:S5"/>
    <mergeCell ref="Q3:Q5"/>
    <mergeCell ref="W3:W5"/>
    <mergeCell ref="X4:X5"/>
    <mergeCell ref="B6:M6"/>
    <mergeCell ref="D8:M8"/>
    <mergeCell ref="F10:M10"/>
    <mergeCell ref="F11:M11"/>
    <mergeCell ref="O3:O5"/>
    <mergeCell ref="A1:AB1"/>
    <mergeCell ref="A3:N5"/>
    <mergeCell ref="R4:R5"/>
    <mergeCell ref="T4:T5"/>
    <mergeCell ref="P4:P5"/>
    <mergeCell ref="U3:U5"/>
    <mergeCell ref="V4:V5"/>
    <mergeCell ref="F16:M16"/>
    <mergeCell ref="B17:M17"/>
    <mergeCell ref="D18:M18"/>
    <mergeCell ref="F19:M19"/>
    <mergeCell ref="F12:M12"/>
    <mergeCell ref="F13:M13"/>
    <mergeCell ref="F14:M14"/>
    <mergeCell ref="F15:M15"/>
    <mergeCell ref="D24:M24"/>
    <mergeCell ref="F25:M25"/>
    <mergeCell ref="F26:M26"/>
    <mergeCell ref="F27:M27"/>
    <mergeCell ref="F20:M20"/>
    <mergeCell ref="F21:M21"/>
    <mergeCell ref="F22:M22"/>
    <mergeCell ref="B23:M23"/>
    <mergeCell ref="I37:AF37"/>
    <mergeCell ref="I32:AF32"/>
    <mergeCell ref="F28:M28"/>
    <mergeCell ref="A30:F30"/>
    <mergeCell ref="I30:AB30"/>
    <mergeCell ref="I38:S38"/>
    <mergeCell ref="I35:AF35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  <ignoredErrors>
    <ignoredError sqref="H30:H33 H34 H3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0256-0CF2-4EB0-A95A-68495FD8FFF7}">
  <sheetPr>
    <tabColor rgb="FFFFC000"/>
    <pageSetUpPr fitToPage="1"/>
  </sheetPr>
  <dimension ref="A1:AA30"/>
  <sheetViews>
    <sheetView view="pageBreakPreview" zoomScaleNormal="100" zoomScaleSheetLayoutView="100" workbookViewId="0">
      <selection sqref="A1:U1"/>
    </sheetView>
  </sheetViews>
  <sheetFormatPr defaultColWidth="8" defaultRowHeight="12"/>
  <cols>
    <col min="1" max="9" width="0.90625" style="79" customWidth="1"/>
    <col min="10" max="12" width="0.6328125" style="79" customWidth="1"/>
    <col min="13" max="13" width="23.6328125" style="79" customWidth="1"/>
    <col min="14" max="14" width="0.6328125" style="79" customWidth="1"/>
    <col min="15" max="19" width="17.6328125" style="79" customWidth="1"/>
    <col min="20" max="20" width="0.36328125" style="79" customWidth="1"/>
    <col min="21" max="21" width="15.6328125" style="79" hidden="1" customWidth="1"/>
    <col min="22" max="22" width="10.6328125" style="143" customWidth="1"/>
    <col min="23" max="23" width="12.6328125" style="143" customWidth="1"/>
    <col min="24" max="24" width="10.6328125" style="143" customWidth="1"/>
    <col min="25" max="25" width="12.6328125" style="143" customWidth="1"/>
    <col min="26" max="26" width="10.6328125" style="143" customWidth="1"/>
    <col min="27" max="75" width="9" style="143" customWidth="1"/>
    <col min="76" max="16384" width="8" style="143"/>
  </cols>
  <sheetData>
    <row r="1" spans="1:26" ht="19.5" customHeight="1">
      <c r="A1" s="358" t="s">
        <v>282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142"/>
      <c r="W1" s="142"/>
      <c r="X1" s="142"/>
      <c r="Y1" s="142"/>
      <c r="Z1" s="142"/>
    </row>
    <row r="2" spans="1:26" s="147" customFormat="1" ht="1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5"/>
      <c r="P2" s="145"/>
      <c r="Q2" s="146"/>
      <c r="R2" s="146"/>
      <c r="S2" s="146" t="s">
        <v>209</v>
      </c>
    </row>
    <row r="3" spans="1:26" ht="15" customHeight="1">
      <c r="A3" s="359" t="s">
        <v>180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5">
        <v>2014</v>
      </c>
      <c r="P3" s="365">
        <v>2015</v>
      </c>
      <c r="Q3" s="365">
        <v>2016</v>
      </c>
      <c r="R3" s="365">
        <v>2017</v>
      </c>
      <c r="S3" s="365">
        <v>2018</v>
      </c>
      <c r="T3" s="143"/>
      <c r="U3" s="143"/>
    </row>
    <row r="4" spans="1:26" ht="12" customHeight="1">
      <c r="A4" s="361"/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3"/>
      <c r="O4" s="366"/>
      <c r="P4" s="366"/>
      <c r="Q4" s="366"/>
      <c r="R4" s="366"/>
      <c r="S4" s="366"/>
      <c r="T4" s="148"/>
      <c r="U4" s="148"/>
      <c r="V4" s="148"/>
      <c r="W4" s="148"/>
    </row>
    <row r="5" spans="1:26" ht="30" customHeight="1">
      <c r="A5" s="149"/>
      <c r="B5" s="364" t="s">
        <v>210</v>
      </c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150"/>
      <c r="O5" s="151">
        <v>19.417476000000001</v>
      </c>
      <c r="P5" s="151">
        <v>19.729811000000002</v>
      </c>
      <c r="Q5" s="151">
        <v>19.719141</v>
      </c>
      <c r="R5" s="151">
        <v>20.577143</v>
      </c>
      <c r="S5" s="151">
        <v>20.735859999999999</v>
      </c>
      <c r="T5" s="152"/>
      <c r="U5" s="152"/>
      <c r="V5" s="152"/>
      <c r="W5" s="152"/>
    </row>
    <row r="6" spans="1:26" ht="30" customHeight="1">
      <c r="A6" s="149"/>
      <c r="B6" s="357" t="s">
        <v>211</v>
      </c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150"/>
      <c r="O6" s="151">
        <v>6.4822420000000003</v>
      </c>
      <c r="P6" s="151">
        <v>6.305949</v>
      </c>
      <c r="Q6" s="151">
        <v>6.0926520000000002</v>
      </c>
      <c r="R6" s="151">
        <v>6.1516339999999996</v>
      </c>
      <c r="S6" s="151">
        <v>6.1478409999999997</v>
      </c>
      <c r="T6" s="143"/>
      <c r="U6" s="143"/>
    </row>
    <row r="7" spans="1:26" ht="30" customHeight="1">
      <c r="A7" s="155"/>
      <c r="B7" s="364" t="s">
        <v>210</v>
      </c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156"/>
      <c r="O7" s="151"/>
      <c r="P7" s="151"/>
      <c r="Q7" s="151"/>
      <c r="R7" s="151"/>
      <c r="S7" s="151"/>
      <c r="T7" s="143"/>
      <c r="U7" s="143"/>
    </row>
    <row r="8" spans="1:26" ht="30" customHeight="1">
      <c r="A8" s="157"/>
      <c r="B8" s="158"/>
      <c r="C8" s="355" t="s">
        <v>212</v>
      </c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160"/>
      <c r="O8" s="161"/>
      <c r="P8" s="161"/>
      <c r="Q8" s="161"/>
      <c r="R8" s="161"/>
      <c r="S8" s="161"/>
      <c r="T8" s="143"/>
      <c r="U8" s="143"/>
    </row>
    <row r="9" spans="1:26" ht="22.5" customHeight="1">
      <c r="A9" s="157"/>
      <c r="B9" s="158"/>
      <c r="C9" s="159"/>
      <c r="D9" s="355" t="s">
        <v>213</v>
      </c>
      <c r="E9" s="355"/>
      <c r="F9" s="355"/>
      <c r="G9" s="355"/>
      <c r="H9" s="355"/>
      <c r="I9" s="355"/>
      <c r="J9" s="355"/>
      <c r="K9" s="355"/>
      <c r="L9" s="355"/>
      <c r="M9" s="355"/>
      <c r="N9" s="160"/>
      <c r="O9" s="161">
        <v>16.110720000000001</v>
      </c>
      <c r="P9" s="161">
        <v>16.005693999999998</v>
      </c>
      <c r="Q9" s="161">
        <v>15.921583</v>
      </c>
      <c r="R9" s="161">
        <v>16.19904</v>
      </c>
      <c r="S9" s="161">
        <v>16.374196999999999</v>
      </c>
      <c r="T9" s="143"/>
      <c r="U9" s="143"/>
    </row>
    <row r="10" spans="1:26" ht="22.5" customHeight="1">
      <c r="A10" s="157"/>
      <c r="B10" s="158"/>
      <c r="C10" s="159"/>
      <c r="D10" s="355" t="s">
        <v>214</v>
      </c>
      <c r="E10" s="355"/>
      <c r="F10" s="355"/>
      <c r="G10" s="355"/>
      <c r="H10" s="355"/>
      <c r="I10" s="355"/>
      <c r="J10" s="355"/>
      <c r="K10" s="355"/>
      <c r="L10" s="355"/>
      <c r="M10" s="355"/>
      <c r="N10" s="160"/>
      <c r="O10" s="161">
        <v>32.628103000000003</v>
      </c>
      <c r="P10" s="161">
        <v>33.408577999999999</v>
      </c>
      <c r="Q10" s="161">
        <v>33.686982</v>
      </c>
      <c r="R10" s="161">
        <v>34.223567000000003</v>
      </c>
      <c r="S10" s="161">
        <v>35.906441999999998</v>
      </c>
      <c r="T10" s="143"/>
      <c r="U10" s="143"/>
    </row>
    <row r="11" spans="1:26" ht="22.5" customHeight="1">
      <c r="A11" s="157"/>
      <c r="B11" s="158"/>
      <c r="C11" s="159"/>
      <c r="D11" s="355" t="s">
        <v>215</v>
      </c>
      <c r="E11" s="355"/>
      <c r="F11" s="355"/>
      <c r="G11" s="355"/>
      <c r="H11" s="355"/>
      <c r="I11" s="355"/>
      <c r="J11" s="355"/>
      <c r="K11" s="355"/>
      <c r="L11" s="355"/>
      <c r="M11" s="355"/>
      <c r="N11" s="160"/>
      <c r="O11" s="161">
        <v>34.036810000000003</v>
      </c>
      <c r="P11" s="161">
        <v>37.148493000000002</v>
      </c>
      <c r="Q11" s="161">
        <v>36.697991999999999</v>
      </c>
      <c r="R11" s="161">
        <v>39.661006</v>
      </c>
      <c r="S11" s="161">
        <v>40.525381000000003</v>
      </c>
      <c r="T11" s="143"/>
      <c r="U11" s="143"/>
    </row>
    <row r="12" spans="1:26" ht="22.5" customHeight="1">
      <c r="A12" s="157"/>
      <c r="B12" s="162"/>
      <c r="C12" s="163"/>
      <c r="D12" s="355" t="s">
        <v>216</v>
      </c>
      <c r="E12" s="355"/>
      <c r="F12" s="355"/>
      <c r="G12" s="355"/>
      <c r="H12" s="355"/>
      <c r="I12" s="355"/>
      <c r="J12" s="355"/>
      <c r="K12" s="355"/>
      <c r="L12" s="355"/>
      <c r="M12" s="355"/>
      <c r="N12" s="164"/>
      <c r="O12" s="161">
        <v>16.636462000000002</v>
      </c>
      <c r="P12" s="161">
        <v>14.611421</v>
      </c>
      <c r="Q12" s="161">
        <v>18.642081000000001</v>
      </c>
      <c r="R12" s="161">
        <v>20.100857999999999</v>
      </c>
      <c r="S12" s="161">
        <v>18.926359000000001</v>
      </c>
      <c r="T12" s="143"/>
      <c r="U12" s="143"/>
    </row>
    <row r="13" spans="1:26" ht="30" customHeight="1">
      <c r="A13" s="155"/>
      <c r="B13" s="357" t="s">
        <v>211</v>
      </c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57"/>
      <c r="N13" s="160"/>
      <c r="O13" s="151"/>
      <c r="P13" s="151"/>
      <c r="Q13" s="151"/>
      <c r="R13" s="151"/>
      <c r="S13" s="151"/>
      <c r="T13" s="143"/>
      <c r="U13" s="143"/>
    </row>
    <row r="14" spans="1:26" ht="30" customHeight="1">
      <c r="A14" s="157"/>
      <c r="B14" s="158"/>
      <c r="C14" s="355" t="s">
        <v>212</v>
      </c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160"/>
      <c r="O14" s="161"/>
      <c r="P14" s="161"/>
      <c r="Q14" s="161"/>
      <c r="R14" s="161"/>
      <c r="S14" s="161"/>
      <c r="T14" s="143"/>
      <c r="U14" s="143"/>
    </row>
    <row r="15" spans="1:26" ht="22.5" customHeight="1">
      <c r="A15" s="157"/>
      <c r="B15" s="158"/>
      <c r="C15" s="159"/>
      <c r="D15" s="355" t="s">
        <v>213</v>
      </c>
      <c r="E15" s="355"/>
      <c r="F15" s="355"/>
      <c r="G15" s="355"/>
      <c r="H15" s="355"/>
      <c r="I15" s="355"/>
      <c r="J15" s="355"/>
      <c r="K15" s="355"/>
      <c r="L15" s="355"/>
      <c r="M15" s="355"/>
      <c r="N15" s="160"/>
      <c r="O15" s="161">
        <v>6.2292839999999998</v>
      </c>
      <c r="P15" s="161">
        <v>6.0129060000000001</v>
      </c>
      <c r="Q15" s="161">
        <v>5.823842</v>
      </c>
      <c r="R15" s="161">
        <v>5.8487439999999999</v>
      </c>
      <c r="S15" s="161">
        <v>5.7803329999999997</v>
      </c>
      <c r="T15" s="143"/>
      <c r="U15" s="143"/>
    </row>
    <row r="16" spans="1:26" ht="22.5" customHeight="1">
      <c r="A16" s="157"/>
      <c r="B16" s="158"/>
      <c r="C16" s="159"/>
      <c r="D16" s="355" t="s">
        <v>214</v>
      </c>
      <c r="E16" s="355"/>
      <c r="F16" s="355"/>
      <c r="G16" s="355"/>
      <c r="H16" s="355"/>
      <c r="I16" s="355"/>
      <c r="J16" s="355"/>
      <c r="K16" s="355"/>
      <c r="L16" s="355"/>
      <c r="M16" s="355"/>
      <c r="N16" s="160"/>
      <c r="O16" s="161">
        <v>11.186998000000001</v>
      </c>
      <c r="P16" s="161">
        <v>11.577619</v>
      </c>
      <c r="Q16" s="161">
        <v>11.157280999999999</v>
      </c>
      <c r="R16" s="161">
        <v>11.520293000000001</v>
      </c>
      <c r="S16" s="161">
        <v>11.678675999999999</v>
      </c>
      <c r="T16" s="143"/>
      <c r="U16" s="143"/>
    </row>
    <row r="17" spans="1:27" ht="22.5" customHeight="1">
      <c r="A17" s="157"/>
      <c r="B17" s="158"/>
      <c r="C17" s="159"/>
      <c r="D17" s="355" t="s">
        <v>215</v>
      </c>
      <c r="E17" s="355"/>
      <c r="F17" s="355"/>
      <c r="G17" s="355"/>
      <c r="H17" s="355"/>
      <c r="I17" s="355"/>
      <c r="J17" s="355"/>
      <c r="K17" s="355"/>
      <c r="L17" s="355"/>
      <c r="M17" s="355"/>
      <c r="N17" s="160"/>
      <c r="O17" s="161">
        <v>16.852256000000001</v>
      </c>
      <c r="P17" s="161">
        <v>19.204754000000001</v>
      </c>
      <c r="Q17" s="161">
        <v>13.946152</v>
      </c>
      <c r="R17" s="161">
        <v>17.140846</v>
      </c>
      <c r="S17" s="161">
        <v>26.851103999999999</v>
      </c>
      <c r="T17" s="143"/>
      <c r="U17" s="143"/>
    </row>
    <row r="18" spans="1:27" ht="22.5" customHeight="1">
      <c r="A18" s="165"/>
      <c r="B18" s="162"/>
      <c r="C18" s="163"/>
      <c r="D18" s="356" t="s">
        <v>216</v>
      </c>
      <c r="E18" s="356"/>
      <c r="F18" s="356"/>
      <c r="G18" s="356"/>
      <c r="H18" s="356"/>
      <c r="I18" s="356"/>
      <c r="J18" s="356"/>
      <c r="K18" s="356"/>
      <c r="L18" s="356"/>
      <c r="M18" s="356"/>
      <c r="N18" s="164"/>
      <c r="O18" s="153">
        <v>12.726243</v>
      </c>
      <c r="P18" s="153">
        <v>24.256981</v>
      </c>
      <c r="Q18" s="153">
        <v>14.354459</v>
      </c>
      <c r="R18" s="153">
        <v>14.799542000000001</v>
      </c>
      <c r="S18" s="153">
        <v>13.366383000000001</v>
      </c>
      <c r="T18" s="143"/>
      <c r="U18" s="143"/>
    </row>
    <row r="19" spans="1:27" ht="15" customHeight="1">
      <c r="A19" s="166"/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54"/>
    </row>
    <row r="20" spans="1:27" ht="22.5" customHeight="1">
      <c r="A20" s="347" t="s">
        <v>296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168"/>
      <c r="O20" s="169"/>
      <c r="P20" s="169"/>
      <c r="Q20" s="169"/>
      <c r="R20" s="169"/>
      <c r="S20" s="169"/>
      <c r="T20" s="169"/>
      <c r="U20" s="169"/>
      <c r="V20" s="169"/>
      <c r="W20" s="138"/>
      <c r="X20" s="138"/>
    </row>
    <row r="21" spans="1:27" ht="13.5" customHeight="1">
      <c r="A21" s="349" t="s">
        <v>315</v>
      </c>
      <c r="B21" s="347"/>
      <c r="C21" s="347"/>
      <c r="D21" s="347"/>
      <c r="E21" s="347"/>
      <c r="F21" s="347"/>
      <c r="G21" s="350"/>
      <c r="H21" s="351"/>
      <c r="I21" s="351"/>
      <c r="J21" s="351"/>
      <c r="K21" s="351"/>
      <c r="L21" s="351"/>
      <c r="M21" s="351"/>
      <c r="N21" s="223"/>
      <c r="O21" s="353" t="s">
        <v>148</v>
      </c>
      <c r="P21" s="354"/>
      <c r="Q21" s="352" t="s">
        <v>217</v>
      </c>
      <c r="R21" s="352"/>
      <c r="S21" s="352"/>
      <c r="T21" s="170"/>
      <c r="U21" s="344"/>
      <c r="V21" s="344"/>
      <c r="W21" s="345"/>
      <c r="X21" s="138"/>
    </row>
    <row r="22" spans="1:27" ht="13.5" customHeight="1">
      <c r="A22" s="350"/>
      <c r="B22" s="350"/>
      <c r="C22" s="350"/>
      <c r="D22" s="350"/>
      <c r="E22" s="350"/>
      <c r="F22" s="350"/>
      <c r="G22" s="350"/>
      <c r="H22" s="351"/>
      <c r="I22" s="351"/>
      <c r="J22" s="351"/>
      <c r="K22" s="351"/>
      <c r="L22" s="351"/>
      <c r="M22" s="351"/>
      <c r="N22" s="223"/>
      <c r="O22" s="224" t="s">
        <v>314</v>
      </c>
      <c r="P22" s="225"/>
      <c r="Q22" s="352"/>
      <c r="R22" s="352"/>
      <c r="S22" s="352"/>
      <c r="T22" s="170"/>
      <c r="U22" s="346"/>
      <c r="V22" s="346"/>
      <c r="W22" s="345"/>
      <c r="X22" s="138"/>
    </row>
    <row r="23" spans="1:27" ht="26.15" customHeight="1">
      <c r="A23" s="96"/>
      <c r="B23" s="97"/>
      <c r="D23" s="97"/>
      <c r="F23" s="97"/>
      <c r="H23" s="97"/>
      <c r="J23" s="97"/>
      <c r="V23" s="154"/>
    </row>
    <row r="24" spans="1:27" ht="26.15" customHeight="1">
      <c r="A24" s="96"/>
      <c r="B24" s="97"/>
      <c r="D24" s="97"/>
      <c r="F24" s="97"/>
      <c r="H24" s="97"/>
      <c r="J24" s="97"/>
      <c r="V24" s="154"/>
    </row>
    <row r="25" spans="1:27">
      <c r="A25" s="96"/>
      <c r="B25" s="97"/>
      <c r="D25" s="97"/>
      <c r="F25" s="97"/>
      <c r="H25" s="97"/>
      <c r="J25" s="97"/>
      <c r="V25" s="171"/>
      <c r="W25" s="171"/>
      <c r="X25" s="171"/>
      <c r="Y25" s="171"/>
      <c r="Z25" s="171"/>
      <c r="AA25" s="171"/>
    </row>
    <row r="26" spans="1:27">
      <c r="A26" s="96"/>
      <c r="B26" s="97"/>
      <c r="D26" s="97"/>
      <c r="F26" s="97"/>
      <c r="H26" s="97"/>
      <c r="J26" s="97"/>
      <c r="V26" s="171"/>
      <c r="W26" s="171"/>
      <c r="X26" s="171"/>
      <c r="Y26" s="171"/>
      <c r="Z26" s="171"/>
      <c r="AA26" s="171"/>
    </row>
    <row r="27" spans="1:27">
      <c r="A27" s="96"/>
      <c r="B27" s="97"/>
      <c r="D27" s="97"/>
      <c r="F27" s="97"/>
      <c r="H27" s="97"/>
      <c r="J27" s="97"/>
      <c r="V27" s="171"/>
      <c r="W27" s="171"/>
      <c r="X27" s="171"/>
      <c r="Y27" s="171"/>
      <c r="Z27" s="171"/>
      <c r="AA27" s="171"/>
    </row>
    <row r="28" spans="1:27">
      <c r="A28" s="96"/>
      <c r="B28" s="97"/>
      <c r="D28" s="97"/>
      <c r="F28" s="97"/>
      <c r="H28" s="97"/>
      <c r="J28" s="97"/>
      <c r="V28" s="172"/>
      <c r="W28" s="172"/>
      <c r="X28" s="172"/>
      <c r="Y28" s="172"/>
      <c r="Z28" s="172"/>
      <c r="AA28" s="172"/>
    </row>
    <row r="29" spans="1:27">
      <c r="A29" s="96"/>
      <c r="B29" s="97"/>
      <c r="D29" s="97"/>
      <c r="F29" s="97"/>
      <c r="H29" s="97"/>
      <c r="J29" s="97"/>
      <c r="V29" s="172"/>
      <c r="W29" s="172"/>
      <c r="X29" s="172"/>
      <c r="Y29" s="172"/>
      <c r="Z29" s="172"/>
      <c r="AA29" s="172"/>
    </row>
    <row r="30" spans="1:27">
      <c r="A30" s="96"/>
      <c r="B30" s="97"/>
      <c r="D30" s="97"/>
      <c r="F30" s="97"/>
      <c r="H30" s="97"/>
      <c r="J30" s="97"/>
      <c r="V30" s="172"/>
      <c r="W30" s="172"/>
      <c r="X30" s="172"/>
      <c r="Y30" s="172"/>
      <c r="Z30" s="172"/>
      <c r="AA30" s="172"/>
    </row>
  </sheetData>
  <mergeCells count="30">
    <mergeCell ref="D10:M10"/>
    <mergeCell ref="R3:R4"/>
    <mergeCell ref="O3:O4"/>
    <mergeCell ref="S3:S4"/>
    <mergeCell ref="B7:M7"/>
    <mergeCell ref="C8:M8"/>
    <mergeCell ref="D9:M9"/>
    <mergeCell ref="A1:U1"/>
    <mergeCell ref="A3:N4"/>
    <mergeCell ref="B5:M5"/>
    <mergeCell ref="B6:M6"/>
    <mergeCell ref="Q3:Q4"/>
    <mergeCell ref="P3:P4"/>
    <mergeCell ref="D15:M15"/>
    <mergeCell ref="D16:M16"/>
    <mergeCell ref="D17:M17"/>
    <mergeCell ref="D18:M18"/>
    <mergeCell ref="R21:R22"/>
    <mergeCell ref="D11:M11"/>
    <mergeCell ref="D12:M12"/>
    <mergeCell ref="B13:M13"/>
    <mergeCell ref="C14:M14"/>
    <mergeCell ref="Q21:Q22"/>
    <mergeCell ref="U21:V21"/>
    <mergeCell ref="W21:W22"/>
    <mergeCell ref="U22:V22"/>
    <mergeCell ref="A20:M20"/>
    <mergeCell ref="A21:M22"/>
    <mergeCell ref="S21:S22"/>
    <mergeCell ref="O21:P21"/>
  </mergeCells>
  <phoneticPr fontId="2"/>
  <pageMargins left="0.75" right="0.75" top="1" bottom="1" header="0.51200000000000001" footer="0.51200000000000001"/>
  <pageSetup paperSize="9" scale="9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2014-06-13T04:56:11Z</dcterms:created>
  <dcterms:modified xsi:type="dcterms:W3CDTF">2026-04-16T12:56:26Z</dcterms:modified>
</cp:coreProperties>
</file>