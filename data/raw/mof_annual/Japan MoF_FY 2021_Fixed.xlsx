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24226"/>
  <xr:revisionPtr revIDLastSave="0" documentId="8_{6897CEDC-725F-4B15-97D2-FDEDE17AD30E}" xr6:coauthVersionLast="47" xr6:coauthVersionMax="47" xr10:uidLastSave="{00000000-0000-0000-0000-000000000000}"/>
  <bookViews>
    <workbookView xWindow="2280" yWindow="1430" windowWidth="13820" windowHeight="9370" xr2:uid="{15B84F9B-D361-47D8-8AD6-33E90317EEF0}"/>
  </bookViews>
  <sheets>
    <sheet name="1" sheetId="2" r:id="rId1"/>
    <sheet name="2" sheetId="11" r:id="rId2"/>
    <sheet name="2-1" sheetId="13" r:id="rId3"/>
    <sheet name="3" sheetId="14" r:id="rId4"/>
    <sheet name="4" sheetId="12" r:id="rId5"/>
    <sheet name="5" sheetId="19" r:id="rId6"/>
    <sheet name="6" sheetId="7" r:id="rId7"/>
    <sheet name="7" sheetId="10" r:id="rId8"/>
    <sheet name="8" sheetId="6" r:id="rId9"/>
    <sheet name="9" sheetId="5" r:id="rId10"/>
    <sheet name="10" sheetId="4" r:id="rId11"/>
    <sheet name="11" sheetId="3" r:id="rId12"/>
    <sheet name="12" sheetId="15" r:id="rId13"/>
    <sheet name="13" sheetId="17" r:id="rId14"/>
    <sheet name="14" sheetId="20" r:id="rId15"/>
    <sheet name="15" sheetId="18" r:id="rId16"/>
    <sheet name="16" sheetId="16" r:id="rId17"/>
  </sheets>
  <definedNames>
    <definedName name="_xlnm.Print_Area" localSheetId="0">'1'!$A$1:$K$36</definedName>
    <definedName name="_xlnm.Print_Area" localSheetId="10">'10'!$A$1:$K$24</definedName>
    <definedName name="_xlnm.Print_Area" localSheetId="11">'11'!$A$1:$F$17</definedName>
    <definedName name="_xlnm.Print_Area" localSheetId="12">'12'!$A$1:$X$32</definedName>
    <definedName name="_xlnm.Print_Area" localSheetId="13">'13'!$A$1:$N$15</definedName>
    <definedName name="_xlnm.Print_Area" localSheetId="14">'14'!$A$1:$K$22</definedName>
    <definedName name="_xlnm.Print_Area" localSheetId="15">'15'!$A$1:$X$38</definedName>
    <definedName name="_xlnm.Print_Area" localSheetId="16">'16'!$A$1:$S$22</definedName>
    <definedName name="_xlnm.Print_Area" localSheetId="1">'2'!$A$1:$K$36</definedName>
    <definedName name="_xlnm.Print_Area" localSheetId="2">'2-1'!$A$1:$K$10</definedName>
    <definedName name="_xlnm.Print_Area" localSheetId="3">'3'!$A$1:$K$34</definedName>
    <definedName name="_xlnm.Print_Area" localSheetId="4">'4'!$A$1:$K$11</definedName>
    <definedName name="_xlnm.Print_Area" localSheetId="5">'5'!$A$1:$K$15</definedName>
    <definedName name="_xlnm.Print_Area" localSheetId="6">'6'!$A$1:$K$23</definedName>
    <definedName name="_xlnm.Print_Area" localSheetId="7">'7'!$A$1:$K$43</definedName>
    <definedName name="_xlnm.Print_Area" localSheetId="9">'9'!$A$1:$K$16</definedName>
    <definedName name="_xlnm.Print_Titles" localSheetId="0">'1'!$A:$A</definedName>
    <definedName name="tempRange">#N/A</definedName>
    <definedName name="全国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0" l="1"/>
  <c r="G18" i="20"/>
  <c r="E18" i="20"/>
  <c r="I17" i="20"/>
  <c r="G17" i="20"/>
  <c r="E17" i="20"/>
  <c r="I16" i="20"/>
  <c r="G16" i="20"/>
  <c r="E16" i="20"/>
  <c r="I15" i="20"/>
  <c r="G15" i="20"/>
  <c r="E15" i="20"/>
  <c r="I12" i="20"/>
  <c r="G12" i="20"/>
  <c r="E12" i="20"/>
  <c r="I11" i="20"/>
  <c r="G11" i="20"/>
  <c r="E11" i="20"/>
  <c r="I10" i="20"/>
  <c r="G10" i="20"/>
  <c r="E10" i="20"/>
  <c r="I9" i="20"/>
  <c r="G9" i="20"/>
  <c r="E9" i="20"/>
  <c r="I6" i="20"/>
  <c r="G6" i="20"/>
  <c r="E6" i="20"/>
  <c r="I5" i="20"/>
  <c r="G5" i="20"/>
  <c r="E5" i="20"/>
  <c r="K5" i="20"/>
  <c r="K6" i="20"/>
  <c r="K9" i="20"/>
  <c r="K10" i="20"/>
  <c r="K11" i="20"/>
  <c r="K12" i="20"/>
  <c r="K15" i="20"/>
  <c r="K16" i="20"/>
  <c r="K17" i="20"/>
  <c r="K18" i="20"/>
  <c r="K12" i="19"/>
  <c r="K11" i="19"/>
  <c r="K10" i="19"/>
  <c r="K9" i="19"/>
  <c r="K7" i="19"/>
  <c r="K6" i="19"/>
  <c r="K5" i="19"/>
  <c r="I12" i="19"/>
  <c r="G12" i="19"/>
  <c r="E12" i="19"/>
  <c r="I11" i="19"/>
  <c r="G11" i="19"/>
  <c r="E11" i="19"/>
  <c r="I10" i="19"/>
  <c r="G10" i="19"/>
  <c r="E10" i="19"/>
  <c r="I9" i="19"/>
  <c r="G9" i="19"/>
  <c r="E9" i="19"/>
  <c r="I7" i="19"/>
  <c r="G7" i="19"/>
  <c r="E7" i="19"/>
  <c r="I6" i="19"/>
  <c r="G6" i="19"/>
  <c r="E6" i="19"/>
  <c r="I5" i="19"/>
  <c r="G5" i="19"/>
  <c r="E5" i="19"/>
</calcChain>
</file>

<file path=xl/sharedStrings.xml><?xml version="1.0" encoding="utf-8"?>
<sst xmlns="http://schemas.openxmlformats.org/spreadsheetml/2006/main" count="490" uniqueCount="320">
  <si>
    <t>1 billion yen or over</t>
    <phoneticPr fontId="12"/>
  </si>
  <si>
    <t>1.</t>
    <phoneticPr fontId="2"/>
  </si>
  <si>
    <t>2.</t>
    <phoneticPr fontId="2"/>
  </si>
  <si>
    <t>(100 million yen,%)</t>
  </si>
  <si>
    <t>Financial Statements Statistics of Corporations by Industry,Annually</t>
    <phoneticPr fontId="2"/>
  </si>
  <si>
    <t>1.Sales</t>
    <phoneticPr fontId="2"/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</si>
  <si>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</si>
  <si>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</si>
  <si>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</si>
  <si>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</si>
  <si>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</si>
  <si>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</si>
  <si>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</si>
  <si>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　　Iron and Steel</t>
    <phoneticPr fontId="2"/>
  </si>
  <si>
    <t>　　Fabricated Metal Products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</si>
  <si>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</si>
  <si>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</si>
  <si>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</si>
  <si>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</si>
  <si>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</si>
  <si>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>　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</si>
  <si>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</si>
  <si>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</si>
  <si>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</si>
  <si>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</si>
  <si>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</si>
  <si>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</si>
  <si>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</si>
  <si>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</si>
  <si>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　2.Ordinary profits</t>
    <phoneticPr fontId="2"/>
  </si>
  <si>
    <t>Classification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</si>
  <si>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</si>
  <si>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</si>
  <si>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</si>
  <si>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</si>
  <si>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</si>
  <si>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*</t>
  </si>
  <si>
    <t>　　Iron and Steel</t>
    <phoneticPr fontId="2"/>
  </si>
  <si>
    <t>　　Fabricated Metal Products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</si>
  <si>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</si>
  <si>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</si>
  <si>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</si>
  <si>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</si>
  <si>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</si>
  <si>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>　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</si>
  <si>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</si>
  <si>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</si>
  <si>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</si>
  <si>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</si>
  <si>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</si>
  <si>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</si>
  <si>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</si>
  <si>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</si>
  <si>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　　 2 . All Industries and Non-Manufacturing don't include Finance and Insurance.</t>
    <phoneticPr fontId="2"/>
  </si>
  <si>
    <t>(Reference)</t>
    <phoneticPr fontId="2"/>
  </si>
  <si>
    <t>　　　　　Operating profits</t>
    <phoneticPr fontId="2"/>
  </si>
  <si>
    <t>　Non-Manufacturing</t>
  </si>
  <si>
    <t>3.Ratios of operating profits and ordinary profits to sales</t>
    <phoneticPr fontId="2"/>
  </si>
  <si>
    <t>(%)</t>
    <phoneticPr fontId="2"/>
  </si>
  <si>
    <t>Ratio of operating profits to sales</t>
    <phoneticPr fontId="2"/>
  </si>
  <si>
    <t>Ratio of ordinary profits to sales</t>
    <phoneticPr fontId="2"/>
  </si>
  <si>
    <t>　Non-Manufacturing</t>
    <phoneticPr fontId="2"/>
  </si>
  <si>
    <t>Ratio of
component</t>
    <phoneticPr fontId="2"/>
  </si>
  <si>
    <t>Net profits for the period</t>
    <phoneticPr fontId="2"/>
  </si>
  <si>
    <t>Value added</t>
    <phoneticPr fontId="2"/>
  </si>
  <si>
    <t>Salaries and wages</t>
    <phoneticPr fontId="2"/>
  </si>
  <si>
    <t>Interest</t>
    <phoneticPr fontId="2"/>
  </si>
  <si>
    <t>Rental or leasing expenses for fixed and liquid assets</t>
    <phoneticPr fontId="2"/>
  </si>
  <si>
    <t>Taxes and public charges</t>
    <phoneticPr fontId="2"/>
  </si>
  <si>
    <t>Net operating income</t>
  </si>
  <si>
    <t>Ratio of value added</t>
  </si>
  <si>
    <t>Labor productivity(10 thousand yen)</t>
  </si>
  <si>
    <t xml:space="preserve">Notes : 1.Value added = salaries and wages + interest   + rental or leasing expenses for fixed and liquid assets + </t>
    <phoneticPr fontId="2"/>
  </si>
  <si>
    <t xml:space="preserve">                        taxes and public charges + net operating income(operating income -interest and discounting expenses) </t>
    <phoneticPr fontId="2"/>
  </si>
  <si>
    <t>value added</t>
  </si>
  <si>
    <t xml:space="preserve"> ×100</t>
    <phoneticPr fontId="2"/>
  </si>
  <si>
    <t>sales</t>
  </si>
  <si>
    <t>value added</t>
    <phoneticPr fontId="2"/>
  </si>
  <si>
    <t>number of employees</t>
    <phoneticPr fontId="2"/>
  </si>
  <si>
    <t>(100 million yen,％)</t>
  </si>
  <si>
    <t>Classification</t>
    <phoneticPr fontId="2"/>
  </si>
  <si>
    <t>Percent
change</t>
    <phoneticPr fontId="2"/>
  </si>
  <si>
    <t>All Industries</t>
    <phoneticPr fontId="2"/>
  </si>
  <si>
    <t>　Manufacturing</t>
    <phoneticPr fontId="2"/>
  </si>
  <si>
    <t>　　Food</t>
    <phoneticPr fontId="2"/>
  </si>
  <si>
    <t>　　Chemical and Allied Products</t>
    <phoneticPr fontId="2"/>
  </si>
  <si>
    <t>　　Petroleum and Coal products</t>
    <phoneticPr fontId="2"/>
  </si>
  <si>
    <t>　　Iron and Steel</t>
    <phoneticPr fontId="2"/>
  </si>
  <si>
    <t>　　Fabricated Metal Products</t>
    <phoneticPr fontId="2"/>
  </si>
  <si>
    <t>　　Electrical Machinery,Equipment and Supplies</t>
    <phoneticPr fontId="2"/>
  </si>
  <si>
    <t>　　Information and Communication Electronics Equipment</t>
    <phoneticPr fontId="2"/>
  </si>
  <si>
    <t>　　Transportation Equipment</t>
    <phoneticPr fontId="2"/>
  </si>
  <si>
    <t>　Non-Manufacturing</t>
    <phoneticPr fontId="2"/>
  </si>
  <si>
    <t>　　Construction</t>
    <phoneticPr fontId="2"/>
  </si>
  <si>
    <t>　　Wholesale and Retail Trade</t>
    <phoneticPr fontId="2"/>
  </si>
  <si>
    <t>　　Real estate</t>
    <phoneticPr fontId="2"/>
  </si>
  <si>
    <t>　　Goods rental and Leasing</t>
    <phoneticPr fontId="2"/>
  </si>
  <si>
    <t xml:space="preserve">  　Information and Communications</t>
    <phoneticPr fontId="2"/>
  </si>
  <si>
    <t>　　Transport and Postal activities</t>
    <phoneticPr fontId="2"/>
  </si>
  <si>
    <t>　　Production,Transmission and Distribution of Electricity</t>
    <phoneticPr fontId="2"/>
  </si>
  <si>
    <t>　　Services</t>
    <phoneticPr fontId="2"/>
  </si>
  <si>
    <t>Corporations with capital of</t>
    <phoneticPr fontId="2"/>
  </si>
  <si>
    <t xml:space="preserve">  1 billion yen or over</t>
    <phoneticPr fontId="2"/>
  </si>
  <si>
    <t xml:space="preserve">  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</si>
  <si>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</si>
  <si>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</si>
  <si>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Notes : 1.Investment in plant and equipment = increases of tangible fixed assets(excluding land)+depreciation expenses.</t>
    <phoneticPr fontId="2"/>
  </si>
  <si>
    <t>Classification</t>
    <phoneticPr fontId="2"/>
  </si>
  <si>
    <t>Ratio of inventories to sales</t>
    <phoneticPr fontId="2"/>
  </si>
  <si>
    <t>Notes : 1.Increases in inventories mean increases in inventories during the period.</t>
    <phoneticPr fontId="2"/>
  </si>
  <si>
    <t xml:space="preserve">        2.Ratio of inventories to sales =</t>
    <phoneticPr fontId="2"/>
  </si>
  <si>
    <t>inventories (end of the period)</t>
    <phoneticPr fontId="2"/>
  </si>
  <si>
    <t>sales</t>
    <phoneticPr fontId="2"/>
  </si>
  <si>
    <t>Classification</t>
    <phoneticPr fontId="2"/>
  </si>
  <si>
    <t>Percent
change</t>
    <phoneticPr fontId="2"/>
  </si>
  <si>
    <t>Bills and accounts receivable</t>
    <phoneticPr fontId="2"/>
  </si>
  <si>
    <t>Bills and accounts payable</t>
    <phoneticPr fontId="2"/>
  </si>
  <si>
    <t>Short-term borrowings</t>
    <phoneticPr fontId="2"/>
  </si>
  <si>
    <t>Long-term borrowings</t>
    <phoneticPr fontId="2"/>
  </si>
  <si>
    <t>Cash and deposits</t>
    <phoneticPr fontId="2"/>
  </si>
  <si>
    <t>Short-term securities</t>
    <phoneticPr fontId="2"/>
  </si>
  <si>
    <t>Liquidity ratio</t>
  </si>
  <si>
    <t>Notes : 1.Liquidity ratio =</t>
    <phoneticPr fontId="2"/>
  </si>
  <si>
    <t>cash and deposits + short-term securities(average of the beginning and the end of fiscal year)</t>
    <phoneticPr fontId="2"/>
  </si>
  <si>
    <t xml:space="preserve">        2.Figures don't include Finance and Insurance.</t>
    <phoneticPr fontId="2"/>
  </si>
  <si>
    <t>Classification</t>
    <phoneticPr fontId="2"/>
  </si>
  <si>
    <t>　Raising of funds</t>
    <phoneticPr fontId="2"/>
  </si>
  <si>
    <t>　　External funds</t>
    <phoneticPr fontId="2"/>
  </si>
  <si>
    <t>　　　Capital increases</t>
    <phoneticPr fontId="2"/>
  </si>
  <si>
    <t>　　　Bond issues</t>
    <phoneticPr fontId="2"/>
  </si>
  <si>
    <t>　　　Total borrowings</t>
    <phoneticPr fontId="2"/>
  </si>
  <si>
    <t>　　Internal funds</t>
    <phoneticPr fontId="2"/>
  </si>
  <si>
    <t>　　　Internal reserves</t>
    <phoneticPr fontId="2"/>
  </si>
  <si>
    <t>　　　Depreciation expenses</t>
    <phoneticPr fontId="2"/>
  </si>
  <si>
    <t>Notes : 1.Capital increases = increase of capital stock , capital reserves and subscription rights to shares.</t>
    <phoneticPr fontId="2"/>
  </si>
  <si>
    <t xml:space="preserve">        2.Amounts of bills receivable discounted are included in short-term borrowings.</t>
    <phoneticPr fontId="2"/>
  </si>
  <si>
    <t xml:space="preserve">        3.Internal reserves = increase of earned surplus (minus treasury stock), allowance, allowance by special laws</t>
    <phoneticPr fontId="2"/>
  </si>
  <si>
    <t xml:space="preserve">          and a part of liabilities (such as accrued expense) during a year.</t>
    <phoneticPr fontId="2"/>
  </si>
  <si>
    <t xml:space="preserve">          When the amount of increase of [(bills receivable + accounts receivable + bills receivable discounted) - (bills</t>
    <phoneticPr fontId="2"/>
  </si>
  <si>
    <t xml:space="preserve">          payable + accounts payable)] is negative, the absolute value of the amount is counted as internal reserves.</t>
    <phoneticPr fontId="2"/>
  </si>
  <si>
    <t xml:space="preserve">        4.Special depreciation expenses are included in depreciation expenses.</t>
    <phoneticPr fontId="2"/>
  </si>
  <si>
    <t xml:space="preserve">        5.Figures don't include Finance and Insurance.</t>
    <phoneticPr fontId="2"/>
  </si>
  <si>
    <t>(％)</t>
    <phoneticPr fontId="2"/>
  </si>
  <si>
    <t xml:space="preserve">  Manufacturing</t>
    <phoneticPr fontId="2"/>
  </si>
  <si>
    <t xml:space="preserve">  Non-Manufacturing</t>
    <phoneticPr fontId="2"/>
  </si>
  <si>
    <t xml:space="preserve">  1 billion yen or over</t>
    <phoneticPr fontId="2"/>
  </si>
  <si>
    <t xml:space="preserve">  100 million to 1 billion yen</t>
    <phoneticPr fontId="2"/>
  </si>
  <si>
    <t>Net assets - Subscription rights to shares</t>
    <phoneticPr fontId="2"/>
  </si>
  <si>
    <t>Liabilities and Net assets</t>
    <phoneticPr fontId="2"/>
  </si>
  <si>
    <t xml:space="preserve">        2.All Industries and Non-Manufacturing don't include Finance and Insurance.</t>
    <phoneticPr fontId="2"/>
  </si>
  <si>
    <t>Percent
change</t>
    <phoneticPr fontId="12"/>
  </si>
  <si>
    <t>All Industries
(including Finance and Insurance)</t>
    <phoneticPr fontId="2"/>
  </si>
  <si>
    <t>Finance and Insurance</t>
    <phoneticPr fontId="2"/>
  </si>
  <si>
    <t>Banking</t>
    <phoneticPr fontId="2"/>
  </si>
  <si>
    <t>Money lending business etc.</t>
    <phoneticPr fontId="2"/>
  </si>
  <si>
    <t>Financial products transaction dealers</t>
    <phoneticPr fontId="2"/>
  </si>
  <si>
    <t>Futures commodity transaction dealers etc.</t>
    <phoneticPr fontId="2"/>
  </si>
  <si>
    <t>Life insurance institutions</t>
    <phoneticPr fontId="2"/>
  </si>
  <si>
    <t>Non-life insurance institutions</t>
    <phoneticPr fontId="2"/>
  </si>
  <si>
    <t>Miscellaneous insurance institutions</t>
    <phoneticPr fontId="2"/>
  </si>
  <si>
    <t>All Industries
(including Finance and Insurance)</t>
    <phoneticPr fontId="12"/>
  </si>
  <si>
    <t>Corporations with capital of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</si>
  <si>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</si>
  <si>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</si>
  <si>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</si>
  <si>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Finance and Insurance</t>
    <phoneticPr fontId="1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</si>
  <si>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</si>
  <si>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</si>
  <si>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</si>
  <si>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</si>
  <si>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</si>
  <si>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Notes:</t>
    <phoneticPr fontId="2"/>
  </si>
  <si>
    <t>1.</t>
    <phoneticPr fontId="2"/>
  </si>
  <si>
    <t>Beginning in 2008.</t>
    <phoneticPr fontId="2"/>
  </si>
  <si>
    <t>Money lending business etc. are non-deposit money corporations,including lending and credit card business.</t>
    <phoneticPr fontId="2"/>
  </si>
  <si>
    <t xml:space="preserve">Financial products transaction dealers are those engaged in Type Ⅰ Financial products transaction </t>
    <phoneticPr fontId="2"/>
  </si>
  <si>
    <t>and limited to those engaged in Securities-Related Business.</t>
    <phoneticPr fontId="2"/>
  </si>
  <si>
    <t xml:space="preserve">Futures commodity transaction dealers etc. are futures commodity transaction dealers, investment advisory </t>
    <phoneticPr fontId="2"/>
  </si>
  <si>
    <t>and agent services, investment management services ,and auxiliaries for financial products transaction.</t>
    <phoneticPr fontId="2"/>
  </si>
  <si>
    <t>Classification</t>
    <phoneticPr fontId="2"/>
  </si>
  <si>
    <t>Net profits for the period</t>
    <phoneticPr fontId="2"/>
  </si>
  <si>
    <t>Finance and Insurance</t>
    <phoneticPr fontId="2"/>
  </si>
  <si>
    <t>Classification</t>
    <phoneticPr fontId="2"/>
  </si>
  <si>
    <t>Percent
change</t>
    <phoneticPr fontId="12"/>
  </si>
  <si>
    <t>Banking</t>
    <phoneticPr fontId="2"/>
  </si>
  <si>
    <t>Money lending business etc.</t>
    <phoneticPr fontId="2"/>
  </si>
  <si>
    <t>Financial products transaction dealers</t>
    <phoneticPr fontId="2"/>
  </si>
  <si>
    <t>Futures commodity transaction dealers etc.</t>
    <phoneticPr fontId="2"/>
  </si>
  <si>
    <t>Life insurance institutions</t>
    <phoneticPr fontId="2"/>
  </si>
  <si>
    <t>Non-life insurance institutions</t>
    <phoneticPr fontId="2"/>
  </si>
  <si>
    <t>Corporations with capital of</t>
    <phoneticPr fontId="12"/>
  </si>
  <si>
    <t>1 billion yen or over</t>
    <phoneticPr fontId="12"/>
  </si>
  <si>
    <t>under 10 million yen</t>
    <phoneticPr fontId="12"/>
  </si>
  <si>
    <t>Finance and Insurance</t>
    <phoneticPr fontId="1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</si>
  <si>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</si>
  <si>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</si>
  <si>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</si>
  <si>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</si>
  <si>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</si>
  <si>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3.</t>
  </si>
  <si>
    <t>Investment in plant and equipment = increases of tangible fixed assets(excluding land)+depreciation expenses.</t>
    <phoneticPr fontId="2"/>
  </si>
  <si>
    <t>4.</t>
  </si>
  <si>
    <t>Figures include investment in software. (　　)：Figures exclude investment in software.</t>
    <phoneticPr fontId="12"/>
  </si>
  <si>
    <t>Money lending business etc. are non-deposit money corporations,including lending and credit card business.</t>
    <phoneticPr fontId="12"/>
  </si>
  <si>
    <t xml:space="preserve">Financial products transaction dealers are those engaged in Type Ⅰ Financial products transaction </t>
    <phoneticPr fontId="12"/>
  </si>
  <si>
    <t>and limited to those engaged in Securities-Related Business.</t>
    <phoneticPr fontId="12"/>
  </si>
  <si>
    <t xml:space="preserve">Futures commodity transaction dealers etc. are futures commodity transaction dealers, investment advisory </t>
    <phoneticPr fontId="12"/>
  </si>
  <si>
    <t>and agent services, investment management services ,and auxiliaries for financial products transaction.</t>
    <phoneticPr fontId="12"/>
  </si>
  <si>
    <t>(%)</t>
    <phoneticPr fontId="2"/>
  </si>
  <si>
    <t>All Industries
(including Finance and Insurance)</t>
    <phoneticPr fontId="2"/>
  </si>
  <si>
    <t>Finance and Insurance</t>
    <phoneticPr fontId="2"/>
  </si>
  <si>
    <t>Corporations with capital of</t>
    <phoneticPr fontId="12"/>
  </si>
  <si>
    <t>1 billion yen or over</t>
    <phoneticPr fontId="12"/>
  </si>
  <si>
    <t>100 million to 1 billion yen</t>
    <phoneticPr fontId="12"/>
  </si>
  <si>
    <t>10 to 100 million yen</t>
    <phoneticPr fontId="12"/>
  </si>
  <si>
    <t>under 10 million yen</t>
    <phoneticPr fontId="12"/>
  </si>
  <si>
    <t>× 100</t>
    <phoneticPr fontId="2"/>
  </si>
  <si>
    <t xml:space="preserve">    General-Purpose Machinery</t>
    <phoneticPr fontId="2"/>
  </si>
  <si>
    <t xml:space="preserve">    Production Machinery</t>
    <phoneticPr fontId="2"/>
  </si>
  <si>
    <t xml:space="preserve">    Business oriented Machinery</t>
    <phoneticPr fontId="2"/>
  </si>
  <si>
    <t xml:space="preserve">    General-Purpose Machinery</t>
    <phoneticPr fontId="2"/>
  </si>
  <si>
    <t xml:space="preserve">    Production Machinery</t>
    <phoneticPr fontId="2"/>
  </si>
  <si>
    <t xml:space="preserve">    Business oriented Machinery</t>
    <phoneticPr fontId="2"/>
  </si>
  <si>
    <t xml:space="preserve">  　Electrical Machinery,Equipment and Supplies</t>
    <phoneticPr fontId="2"/>
  </si>
  <si>
    <t xml:space="preserve">  　Information and Communication Electronics Equipment</t>
    <phoneticPr fontId="2"/>
  </si>
  <si>
    <t xml:space="preserve">    Transportation Equipment</t>
    <phoneticPr fontId="2"/>
  </si>
  <si>
    <t xml:space="preserve"> 　 Electrical Machinery,Equipment and Supplies</t>
    <phoneticPr fontId="2"/>
  </si>
  <si>
    <t xml:space="preserve">  　Information and Communication Electronics Equipment</t>
    <phoneticPr fontId="2"/>
  </si>
  <si>
    <t xml:space="preserve">    Transportation Equipment</t>
    <phoneticPr fontId="2"/>
  </si>
  <si>
    <t xml:space="preserve">   Finished goods and merchandise</t>
    <phoneticPr fontId="2"/>
  </si>
  <si>
    <t xml:space="preserve">   Goods in process</t>
    <phoneticPr fontId="2"/>
  </si>
  <si>
    <t xml:space="preserve">   Raw materials and goods in storage</t>
    <phoneticPr fontId="2"/>
  </si>
  <si>
    <t xml:space="preserve">  Manufacturing </t>
    <phoneticPr fontId="2"/>
  </si>
  <si>
    <t xml:space="preserve">   Petroleum and Coal products</t>
    <phoneticPr fontId="2"/>
  </si>
  <si>
    <t xml:space="preserve"> 　Iron and steel</t>
    <phoneticPr fontId="2"/>
  </si>
  <si>
    <t xml:space="preserve">   General-Purpose Machinery</t>
    <phoneticPr fontId="2"/>
  </si>
  <si>
    <t xml:space="preserve">   Production Machinery</t>
    <phoneticPr fontId="2"/>
  </si>
  <si>
    <t xml:space="preserve">   Business oriented Machinery</t>
    <phoneticPr fontId="2"/>
  </si>
  <si>
    <t xml:space="preserve">   Electrical Machinery,Equipment and Supplies</t>
    <phoneticPr fontId="2"/>
  </si>
  <si>
    <t xml:space="preserve">   Information and Communication Electronics Equipment</t>
    <phoneticPr fontId="2"/>
  </si>
  <si>
    <t xml:space="preserve">  Non-Manufacturing</t>
    <phoneticPr fontId="2"/>
  </si>
  <si>
    <t xml:space="preserve">   Construction</t>
    <phoneticPr fontId="2"/>
  </si>
  <si>
    <t xml:space="preserve">   Wholesale and Retail Trade</t>
    <phoneticPr fontId="2"/>
  </si>
  <si>
    <t xml:space="preserve">   Real estate</t>
    <phoneticPr fontId="2"/>
  </si>
  <si>
    <t>Beginning in 2008.</t>
    <phoneticPr fontId="12"/>
  </si>
  <si>
    <t xml:space="preserve">        2.Personal expenses = Directors' remuneration + Bonus for directors + Salaries and wages + Bonus for employees + Welfare expenses</t>
    <phoneticPr fontId="2"/>
  </si>
  <si>
    <t xml:space="preserve">        3.Net operating income = operating income - interest</t>
    <phoneticPr fontId="2"/>
  </si>
  <si>
    <t xml:space="preserve">        4.Ratio of value added =</t>
    <phoneticPr fontId="2"/>
  </si>
  <si>
    <t xml:space="preserve">        5.Labor productivity =</t>
    <phoneticPr fontId="2"/>
  </si>
  <si>
    <t>　　　 Long-term borrowings</t>
    <phoneticPr fontId="2"/>
  </si>
  <si>
    <t>　　　 Short-term borrowings</t>
    <phoneticPr fontId="2"/>
  </si>
  <si>
    <t>　　　　　4.Cash dividends</t>
    <phoneticPr fontId="2"/>
  </si>
  <si>
    <t>Percent
change</t>
    <phoneticPr fontId="2"/>
  </si>
  <si>
    <t>Classification</t>
    <phoneticPr fontId="2"/>
  </si>
  <si>
    <t>Classification</t>
    <phoneticPr fontId="2"/>
  </si>
  <si>
    <t>All Industries</t>
    <phoneticPr fontId="2"/>
  </si>
  <si>
    <t>　Manufacturing</t>
    <phoneticPr fontId="2"/>
  </si>
  <si>
    <t>　Manufacturing</t>
    <phoneticPr fontId="2"/>
  </si>
  <si>
    <t>Corporations with capital of</t>
    <phoneticPr fontId="2"/>
  </si>
  <si>
    <t>Corporations with capital of</t>
    <phoneticPr fontId="2"/>
  </si>
  <si>
    <t>　1 billion yen or over</t>
    <phoneticPr fontId="2"/>
  </si>
  <si>
    <t>　1 billion yen or over</t>
    <phoneticPr fontId="2"/>
  </si>
  <si>
    <t>　100 million to 1 billion yen</t>
    <phoneticPr fontId="2"/>
  </si>
  <si>
    <t xml:space="preserve">  10 to 100 million yen</t>
    <phoneticPr fontId="2"/>
  </si>
  <si>
    <t xml:space="preserve">  under 10 million yen</t>
    <phoneticPr fontId="2"/>
  </si>
  <si>
    <t>　　5.Earned surplus</t>
    <phoneticPr fontId="2"/>
  </si>
  <si>
    <t>　　　　6.Value added</t>
    <phoneticPr fontId="2"/>
  </si>
  <si>
    <t xml:space="preserve">7.Investment in plant and equipment </t>
    <phoneticPr fontId="2"/>
  </si>
  <si>
    <t>8.Increases in inventories</t>
    <phoneticPr fontId="2"/>
  </si>
  <si>
    <t>9.Financial items(balance base)</t>
    <phoneticPr fontId="2"/>
  </si>
  <si>
    <t>10.Raising of funds(flow base)</t>
    <phoneticPr fontId="2"/>
  </si>
  <si>
    <t>11.Ratio of net worth</t>
    <phoneticPr fontId="2"/>
  </si>
  <si>
    <t>12. Ordinary Profits</t>
    <phoneticPr fontId="2"/>
  </si>
  <si>
    <t>　　　　　13.Cash dividends</t>
    <phoneticPr fontId="2"/>
  </si>
  <si>
    <t>　　14.Earned surplus</t>
    <phoneticPr fontId="2"/>
  </si>
  <si>
    <t>15.Investment in plant and equipment</t>
    <phoneticPr fontId="2"/>
  </si>
  <si>
    <t>16.Ratio of net worth</t>
    <phoneticPr fontId="2"/>
  </si>
  <si>
    <t>All Industries
(including Finance and Insurance)</t>
    <phoneticPr fontId="2"/>
  </si>
  <si>
    <t>Finance and Insurance</t>
    <phoneticPr fontId="2"/>
  </si>
  <si>
    <t>All Industries
(including Finance and Insurance)</t>
    <phoneticPr fontId="12"/>
  </si>
  <si>
    <t>All Industries
(including Finance and Insurance)</t>
    <phoneticPr fontId="2"/>
  </si>
  <si>
    <t xml:space="preserve">  Corporations with capital of</t>
    <phoneticPr fontId="2"/>
  </si>
  <si>
    <t>　  1 billion yen or over</t>
    <phoneticPr fontId="2"/>
  </si>
  <si>
    <t>　  100 million to 1 billion yen</t>
    <phoneticPr fontId="2"/>
  </si>
  <si>
    <t xml:space="preserve">    10 to 100 million yen</t>
    <phoneticPr fontId="2"/>
  </si>
  <si>
    <t xml:space="preserve">    under 10 million yen</t>
    <phoneticPr fontId="2"/>
  </si>
  <si>
    <t>Finance and Insurance</t>
  </si>
  <si>
    <t>　 Finance and Insurance</t>
    <phoneticPr fontId="2"/>
  </si>
  <si>
    <t>Notes　: 1 . * can not be compared because of the negative figure in the previous year.</t>
    <phoneticPr fontId="2"/>
  </si>
  <si>
    <t>Notes : 1.Ratio of net worth =</t>
    <phoneticPr fontId="2"/>
  </si>
  <si>
    <t>Notes : 1.Beginning in 2008.</t>
    <phoneticPr fontId="12"/>
  </si>
  <si>
    <t>Dividends</t>
  </si>
  <si>
    <t>Notes :  1.Beginning in 2008.</t>
    <phoneticPr fontId="2"/>
  </si>
  <si>
    <t>Notes　:All Industries and Non-Manufacturing don't include Finance and Insurance.</t>
    <phoneticPr fontId="2"/>
  </si>
  <si>
    <t>Notes　: All Industries and Non-Manufacturing don't include Finance and Insurance.</t>
    <phoneticPr fontId="2"/>
  </si>
  <si>
    <t>3.</t>
    <phoneticPr fontId="2"/>
  </si>
  <si>
    <t>4.</t>
    <phoneticPr fontId="2"/>
  </si>
  <si>
    <t>5.</t>
    <phoneticPr fontId="2"/>
  </si>
  <si>
    <t>6.</t>
    <phoneticPr fontId="2"/>
  </si>
  <si>
    <t>　Non-Manufacturing</t>
    <phoneticPr fontId="2"/>
  </si>
  <si>
    <t>Notes : 1.Beginning in 2008.</t>
    <phoneticPr fontId="2"/>
  </si>
  <si>
    <t xml:space="preserve">         2.* can not be compared because of the negative figure in the previous year.</t>
    <phoneticPr fontId="2"/>
  </si>
  <si>
    <t xml:space="preserve">       </t>
    <phoneticPr fontId="2"/>
  </si>
  <si>
    <t>　　　　　Liabilities and capital</t>
    <phoneticPr fontId="2"/>
  </si>
  <si>
    <r>
      <t>Notes :</t>
    </r>
    <r>
      <rPr>
        <sz val="8"/>
        <rFont val="ＭＳ ゴシック"/>
        <family val="3"/>
        <charset val="128"/>
      </rPr>
      <t xml:space="preserve"> 2.Ratio of net worth   　＝</t>
    </r>
    <phoneticPr fontId="2"/>
  </si>
  <si>
    <t>　　 　</t>
    <phoneticPr fontId="2"/>
  </si>
  <si>
    <t xml:space="preserve"> 　　　</t>
    <phoneticPr fontId="2"/>
  </si>
  <si>
    <t xml:space="preserve">        2.Figures include investment in software. (　　):Figures exclude investment in software.   </t>
    <phoneticPr fontId="2"/>
  </si>
  <si>
    <t>2017</t>
    <phoneticPr fontId="2"/>
  </si>
  <si>
    <t>2017</t>
  </si>
  <si>
    <t>2018</t>
    <phoneticPr fontId="2"/>
  </si>
  <si>
    <t>2019</t>
    <phoneticPr fontId="2"/>
  </si>
  <si>
    <t>2020</t>
    <phoneticPr fontId="2"/>
  </si>
  <si>
    <t>Notes : All Industries and Non-Manufacturing don't include Finance and Insurance.</t>
    <phoneticPr fontId="2"/>
  </si>
  <si>
    <t xml:space="preserve">        2．Figures don't include Finance and Insurance.</t>
    <phoneticPr fontId="2"/>
  </si>
  <si>
    <t xml:space="preserve">        6.Figures don't include Finance and Insurance.</t>
    <phoneticPr fontId="2"/>
  </si>
  <si>
    <t xml:space="preserve">        3.All Industries and Non-Manufacturing don't include Finance and Insurance.</t>
    <phoneticPr fontId="2"/>
  </si>
  <si>
    <t xml:space="preserve">        2.Net profits for the period = ordinary profits + special profits - special losses - income taxes-current - income taxes-deferred.</t>
    <phoneticPr fontId="2"/>
  </si>
  <si>
    <t>2021</t>
    <phoneticPr fontId="2"/>
  </si>
  <si>
    <t>Notes : 1. Net profits for the period = ordinary profits + special profits - special losses - income taxes-current - income taxes-deferred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</si>
</sst>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_ "/>
    <numFmt numFmtId="165" formatCode="#,##0.0_ "/>
    <numFmt numFmtId="166" formatCode="0.0_ "/>
    <numFmt numFmtId="167" formatCode="#,##0;&quot;△ &quot;#,##0"/>
    <numFmt numFmtId="168" formatCode="#,##0.0;&quot;△ &quot;#,##0.0"/>
    <numFmt numFmtId="169" formatCode="\(#,##0\);\(&quot;-&quot;#,##0\)"/>
    <numFmt numFmtId="170" formatCode="\(#,##0.0\);\(&quot;-&quot;#,##0.0\)"/>
    <numFmt numFmtId="171" formatCode="0.0;&quot;△&quot;??0.0"/>
    <numFmt numFmtId="172" formatCode="\(0#,##0\)"/>
    <numFmt numFmtId="173" formatCode="\(#,##0\)"/>
    <numFmt numFmtId="174" formatCode="0.0_);[Red]\(0.0\)"/>
    <numFmt numFmtId="175" formatCode="0.0"/>
  </numFmts>
  <fonts count="2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9"/>
      <color indexed="9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6.5"/>
      <name val="ＭＳ Ｐゴシック"/>
      <family val="3"/>
      <charset val="128"/>
    </font>
    <font>
      <sz val="6"/>
      <name val="ＭＳ ゴシック"/>
      <family val="3"/>
      <charset val="128"/>
    </font>
    <font>
      <sz val="6.5"/>
      <name val="ＭＳ ゴシック"/>
      <family val="3"/>
      <charset val="128"/>
    </font>
    <font>
      <sz val="16"/>
      <name val="ＭＳ ゴシック"/>
      <family val="3"/>
      <charset val="128"/>
    </font>
    <font>
      <sz val="7"/>
      <name val="ＭＳ Ｐゴシック"/>
      <family val="3"/>
      <charset val="128"/>
    </font>
    <font>
      <sz val="11"/>
      <name val="ＭＳ ゴシック"/>
      <family val="3"/>
      <charset val="128"/>
    </font>
    <font>
      <sz val="7"/>
      <name val="ＭＳ ゴシック"/>
      <family val="3"/>
      <charset val="128"/>
    </font>
    <font>
      <b/>
      <sz val="6.5"/>
      <name val="ＭＳ 明朝"/>
      <family val="1"/>
      <charset val="128"/>
    </font>
    <font>
      <b/>
      <sz val="15"/>
      <name val="ＭＳ Ｐゴシック"/>
      <family val="3"/>
      <charset val="128"/>
    </font>
    <font>
      <b/>
      <sz val="16"/>
      <name val="ＭＳ ゴシック"/>
      <family val="3"/>
      <charset val="128"/>
    </font>
    <font>
      <b/>
      <sz val="6.5"/>
      <name val="ＭＳ ゴシック"/>
      <family val="3"/>
      <charset val="128"/>
    </font>
    <font>
      <b/>
      <sz val="11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8"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342">
    <xf numFmtId="0" fontId="0" fillId="0" borderId="0" xfId="0">
      <alignment vertical="center"/>
    </xf>
    <xf numFmtId="0" fontId="3" fillId="0" borderId="0" xfId="15" applyFont="1"/>
    <xf numFmtId="0" fontId="4" fillId="0" borderId="0" xfId="15" applyFont="1"/>
    <xf numFmtId="0" fontId="4" fillId="0" borderId="0" xfId="15" applyFont="1" applyAlignment="1">
      <alignment horizontal="right"/>
    </xf>
    <xf numFmtId="0" fontId="4" fillId="0" borderId="1" xfId="15" applyFont="1" applyBorder="1" applyAlignment="1">
      <alignment horizontal="center" wrapText="1"/>
    </xf>
    <xf numFmtId="0" fontId="5" fillId="0" borderId="2" xfId="15" applyFont="1" applyBorder="1" applyAlignment="1">
      <alignment horizontal="left"/>
    </xf>
    <xf numFmtId="164" fontId="5" fillId="0" borderId="3" xfId="15" applyNumberFormat="1" applyFont="1" applyBorder="1" applyAlignment="1">
      <alignment horizontal="right" shrinkToFit="1"/>
    </xf>
    <xf numFmtId="165" fontId="5" fillId="0" borderId="3" xfId="15" applyNumberFormat="1" applyFont="1" applyBorder="1" applyAlignment="1">
      <alignment horizontal="right" shrinkToFit="1"/>
    </xf>
    <xf numFmtId="0" fontId="5" fillId="0" borderId="3" xfId="15" applyFont="1" applyBorder="1" applyAlignment="1">
      <alignment horizontal="left"/>
    </xf>
    <xf numFmtId="0" fontId="5" fillId="0" borderId="3" xfId="13" applyFont="1" applyBorder="1" applyAlignment="1">
      <alignment horizontal="left"/>
    </xf>
    <xf numFmtId="0" fontId="4" fillId="0" borderId="0" xfId="13" applyFont="1"/>
    <xf numFmtId="0" fontId="5" fillId="0" borderId="3" xfId="15" applyFont="1" applyBorder="1"/>
    <xf numFmtId="164" fontId="5" fillId="0" borderId="2" xfId="15" applyNumberFormat="1" applyFont="1" applyBorder="1" applyAlignment="1">
      <alignment horizontal="right" shrinkToFit="1"/>
    </xf>
    <xf numFmtId="165" fontId="5" fillId="0" borderId="2" xfId="15" applyNumberFormat="1" applyFont="1" applyBorder="1" applyAlignment="1">
      <alignment horizontal="right" shrinkToFit="1"/>
    </xf>
    <xf numFmtId="0" fontId="5" fillId="0" borderId="4" xfId="15" applyFont="1" applyBorder="1" applyAlignment="1">
      <alignment horizontal="left"/>
    </xf>
    <xf numFmtId="164" fontId="5" fillId="0" borderId="4" xfId="15" applyNumberFormat="1" applyFont="1" applyBorder="1" applyAlignment="1">
      <alignment horizontal="right" shrinkToFit="1"/>
    </xf>
    <xf numFmtId="165" fontId="5" fillId="0" borderId="4" xfId="15" applyNumberFormat="1" applyFont="1" applyBorder="1" applyAlignment="1">
      <alignment horizontal="right" shrinkToFit="1"/>
    </xf>
    <xf numFmtId="49" fontId="5" fillId="0" borderId="0" xfId="15" applyNumberFormat="1" applyFont="1" applyAlignment="1">
      <alignment horizontal="left"/>
    </xf>
    <xf numFmtId="49" fontId="5" fillId="0" borderId="0" xfId="15" applyNumberFormat="1" applyFont="1" applyAlignment="1">
      <alignment horizontal="center"/>
    </xf>
    <xf numFmtId="0" fontId="6" fillId="0" borderId="0" xfId="15" applyFont="1"/>
    <xf numFmtId="0" fontId="5" fillId="0" borderId="0" xfId="15" applyFont="1"/>
    <xf numFmtId="0" fontId="5" fillId="0" borderId="0" xfId="13" applyFont="1"/>
    <xf numFmtId="0" fontId="5" fillId="0" borderId="0" xfId="13" applyFont="1" applyAlignment="1">
      <alignment wrapText="1"/>
    </xf>
    <xf numFmtId="0" fontId="7" fillId="0" borderId="0" xfId="15" applyFont="1"/>
    <xf numFmtId="164" fontId="5" fillId="0" borderId="2" xfId="15" applyNumberFormat="1" applyFont="1" applyBorder="1" applyAlignment="1">
      <alignment shrinkToFit="1"/>
    </xf>
    <xf numFmtId="165" fontId="5" fillId="0" borderId="2" xfId="15" applyNumberFormat="1" applyFont="1" applyBorder="1" applyAlignment="1">
      <alignment shrinkToFit="1"/>
    </xf>
    <xf numFmtId="165" fontId="5" fillId="0" borderId="3" xfId="15" applyNumberFormat="1" applyFont="1" applyBorder="1" applyAlignment="1">
      <alignment shrinkToFit="1"/>
    </xf>
    <xf numFmtId="164" fontId="5" fillId="0" borderId="3" xfId="15" applyNumberFormat="1" applyFont="1" applyBorder="1" applyAlignment="1">
      <alignment shrinkToFit="1"/>
    </xf>
    <xf numFmtId="164" fontId="5" fillId="0" borderId="4" xfId="15" applyNumberFormat="1" applyFont="1" applyBorder="1" applyAlignment="1">
      <alignment shrinkToFit="1"/>
    </xf>
    <xf numFmtId="165" fontId="5" fillId="0" borderId="4" xfId="15" applyNumberFormat="1" applyFont="1" applyBorder="1" applyAlignment="1">
      <alignment shrinkToFit="1"/>
    </xf>
    <xf numFmtId="49" fontId="5" fillId="0" borderId="1" xfId="15" applyNumberFormat="1" applyFont="1" applyBorder="1" applyAlignment="1">
      <alignment horizontal="center"/>
    </xf>
    <xf numFmtId="0" fontId="5" fillId="0" borderId="3" xfId="15" applyFont="1" applyBorder="1" applyAlignment="1">
      <alignment horizontal="left" wrapText="1"/>
    </xf>
    <xf numFmtId="164" fontId="5" fillId="0" borderId="3" xfId="15" applyNumberFormat="1" applyFont="1" applyBorder="1" applyAlignment="1">
      <alignment horizontal="right" vertical="center" shrinkToFit="1"/>
    </xf>
    <xf numFmtId="165" fontId="5" fillId="0" borderId="3" xfId="15" applyNumberFormat="1" applyFont="1" applyBorder="1" applyAlignment="1">
      <alignment horizontal="right" vertical="center" shrinkToFit="1"/>
    </xf>
    <xf numFmtId="165" fontId="5" fillId="0" borderId="5" xfId="15" applyNumberFormat="1" applyFont="1" applyBorder="1" applyAlignment="1">
      <alignment horizontal="right" shrinkToFit="1"/>
    </xf>
    <xf numFmtId="165" fontId="5" fillId="0" borderId="6" xfId="15" applyNumberFormat="1" applyFont="1" applyBorder="1" applyAlignment="1">
      <alignment horizontal="right" shrinkToFit="1"/>
    </xf>
    <xf numFmtId="164" fontId="5" fillId="0" borderId="7" xfId="15" applyNumberFormat="1" applyFont="1" applyBorder="1" applyAlignment="1">
      <alignment horizontal="right" shrinkToFit="1"/>
    </xf>
    <xf numFmtId="0" fontId="5" fillId="0" borderId="0" xfId="15" applyFont="1" applyAlignment="1">
      <alignment vertical="center"/>
    </xf>
    <xf numFmtId="0" fontId="4" fillId="0" borderId="0" xfId="15" applyFont="1" applyAlignment="1">
      <alignment vertical="center"/>
    </xf>
    <xf numFmtId="49" fontId="5" fillId="0" borderId="8" xfId="15" applyNumberFormat="1" applyFont="1" applyBorder="1" applyAlignment="1">
      <alignment horizontal="center"/>
    </xf>
    <xf numFmtId="0" fontId="9" fillId="0" borderId="0" xfId="2" applyFont="1"/>
    <xf numFmtId="0" fontId="8" fillId="0" borderId="3" xfId="9" applyBorder="1"/>
    <xf numFmtId="0" fontId="5" fillId="0" borderId="9" xfId="13" applyFont="1" applyBorder="1" applyAlignment="1">
      <alignment horizontal="left"/>
    </xf>
    <xf numFmtId="166" fontId="5" fillId="0" borderId="2" xfId="16" applyNumberFormat="1" applyFont="1" applyBorder="1" applyAlignment="1">
      <alignment horizontal="right" shrinkToFit="1"/>
    </xf>
    <xf numFmtId="166" fontId="5" fillId="0" borderId="3" xfId="16" applyNumberFormat="1" applyFont="1" applyBorder="1" applyAlignment="1">
      <alignment horizontal="right" shrinkToFit="1"/>
    </xf>
    <xf numFmtId="166" fontId="5" fillId="0" borderId="4" xfId="16" applyNumberFormat="1" applyFont="1" applyBorder="1" applyAlignment="1">
      <alignment horizontal="right" shrinkToFit="1"/>
    </xf>
    <xf numFmtId="165" fontId="5" fillId="0" borderId="2" xfId="15" applyNumberFormat="1" applyFont="1" applyBorder="1" applyAlignment="1">
      <alignment horizontal="center" shrinkToFit="1"/>
    </xf>
    <xf numFmtId="165" fontId="5" fillId="0" borderId="3" xfId="15" applyNumberFormat="1" applyFont="1" applyBorder="1" applyAlignment="1">
      <alignment horizontal="center" shrinkToFit="1"/>
    </xf>
    <xf numFmtId="165" fontId="5" fillId="0" borderId="4" xfId="15" applyNumberFormat="1" applyFont="1" applyBorder="1" applyAlignment="1">
      <alignment horizontal="center" shrinkToFit="1"/>
    </xf>
    <xf numFmtId="0" fontId="10" fillId="0" borderId="0" xfId="2" applyFont="1" applyAlignment="1">
      <alignment horizontal="right" vertical="center"/>
    </xf>
    <xf numFmtId="0" fontId="9" fillId="0" borderId="5" xfId="2" applyFont="1" applyBorder="1" applyAlignment="1">
      <alignment horizontal="left" vertical="center"/>
    </xf>
    <xf numFmtId="0" fontId="9" fillId="0" borderId="9" xfId="2" applyFont="1" applyBorder="1"/>
    <xf numFmtId="0" fontId="9" fillId="0" borderId="10" xfId="2" applyFont="1" applyBorder="1"/>
    <xf numFmtId="164" fontId="13" fillId="0" borderId="0" xfId="2" applyNumberFormat="1" applyFont="1" applyAlignment="1">
      <alignment vertical="center"/>
    </xf>
    <xf numFmtId="165" fontId="11" fillId="0" borderId="3" xfId="2" applyNumberFormat="1" applyFont="1" applyBorder="1" applyAlignment="1">
      <alignment horizontal="right" vertical="center"/>
    </xf>
    <xf numFmtId="0" fontId="9" fillId="0" borderId="0" xfId="2" applyFont="1" applyAlignment="1">
      <alignment shrinkToFit="1"/>
    </xf>
    <xf numFmtId="0" fontId="9" fillId="0" borderId="6" xfId="2" applyFont="1" applyBorder="1" applyAlignment="1">
      <alignment vertical="top" textRotation="255" wrapText="1"/>
    </xf>
    <xf numFmtId="0" fontId="9" fillId="0" borderId="5" xfId="2" applyFont="1" applyBorder="1"/>
    <xf numFmtId="164" fontId="13" fillId="0" borderId="11" xfId="2" applyNumberFormat="1" applyFont="1" applyBorder="1" applyAlignment="1">
      <alignment vertical="center"/>
    </xf>
    <xf numFmtId="165" fontId="11" fillId="0" borderId="2" xfId="2" applyNumberFormat="1" applyFont="1" applyBorder="1" applyAlignment="1">
      <alignment horizontal="right" vertical="center"/>
    </xf>
    <xf numFmtId="0" fontId="9" fillId="0" borderId="9" xfId="2" applyFont="1" applyBorder="1" applyAlignment="1">
      <alignment vertical="top" textRotation="255" wrapText="1"/>
    </xf>
    <xf numFmtId="0" fontId="9" fillId="0" borderId="0" xfId="2" applyFont="1" applyAlignment="1">
      <alignment vertical="center" textRotation="255" shrinkToFit="1"/>
    </xf>
    <xf numFmtId="0" fontId="9" fillId="0" borderId="7" xfId="2" applyFont="1" applyBorder="1" applyAlignment="1">
      <alignment vertical="top" textRotation="255" wrapText="1"/>
    </xf>
    <xf numFmtId="0" fontId="9" fillId="0" borderId="12" xfId="2" applyFont="1" applyBorder="1" applyAlignment="1">
      <alignment vertical="center" textRotation="255" shrinkToFit="1"/>
    </xf>
    <xf numFmtId="0" fontId="9" fillId="0" borderId="13" xfId="2" applyFont="1" applyBorder="1"/>
    <xf numFmtId="164" fontId="13" fillId="0" borderId="12" xfId="2" applyNumberFormat="1" applyFont="1" applyBorder="1" applyAlignment="1">
      <alignment vertical="center"/>
    </xf>
    <xf numFmtId="165" fontId="11" fillId="0" borderId="4" xfId="2" applyNumberFormat="1" applyFont="1" applyBorder="1" applyAlignment="1">
      <alignment horizontal="right" vertical="center"/>
    </xf>
    <xf numFmtId="0" fontId="13" fillId="0" borderId="0" xfId="6" applyFont="1"/>
    <xf numFmtId="49" fontId="13" fillId="0" borderId="0" xfId="6" applyNumberFormat="1" applyFont="1" applyAlignment="1">
      <alignment horizontal="left" vertical="center"/>
    </xf>
    <xf numFmtId="0" fontId="8" fillId="0" borderId="0" xfId="6" applyAlignment="1">
      <alignment vertical="center"/>
    </xf>
    <xf numFmtId="0" fontId="1" fillId="0" borderId="0" xfId="17" applyAlignment="1">
      <alignment horizontal="left" vertical="center"/>
    </xf>
    <xf numFmtId="0" fontId="13" fillId="0" borderId="0" xfId="6" applyFont="1" applyAlignment="1">
      <alignment vertical="center"/>
    </xf>
    <xf numFmtId="0" fontId="5" fillId="0" borderId="0" xfId="16" applyFont="1"/>
    <xf numFmtId="0" fontId="14" fillId="0" borderId="0" xfId="12" applyFont="1"/>
    <xf numFmtId="0" fontId="5" fillId="0" borderId="0" xfId="16" applyFont="1" applyAlignment="1">
      <alignment horizontal="right"/>
    </xf>
    <xf numFmtId="0" fontId="4" fillId="0" borderId="14" xfId="16" applyFont="1" applyBorder="1" applyAlignment="1">
      <alignment horizontal="center" vertical="center" wrapText="1"/>
    </xf>
    <xf numFmtId="0" fontId="5" fillId="0" borderId="0" xfId="16" applyFont="1" applyAlignment="1">
      <alignment vertical="center"/>
    </xf>
    <xf numFmtId="167" fontId="5" fillId="0" borderId="15" xfId="16" applyNumberFormat="1" applyFont="1" applyBorder="1" applyAlignment="1">
      <alignment horizontal="right" vertical="center" shrinkToFit="1"/>
    </xf>
    <xf numFmtId="168" fontId="5" fillId="0" borderId="16" xfId="16" applyNumberFormat="1" applyFont="1" applyBorder="1" applyAlignment="1">
      <alignment vertical="center" shrinkToFit="1"/>
    </xf>
    <xf numFmtId="0" fontId="5" fillId="0" borderId="15" xfId="16" applyFont="1" applyBorder="1" applyAlignment="1">
      <alignment vertical="center"/>
    </xf>
    <xf numFmtId="164" fontId="5" fillId="0" borderId="15" xfId="16" applyNumberFormat="1" applyFont="1" applyBorder="1" applyAlignment="1">
      <alignment horizontal="right" vertical="center" shrinkToFit="1"/>
    </xf>
    <xf numFmtId="165" fontId="5" fillId="0" borderId="16" xfId="16" applyNumberFormat="1" applyFont="1" applyBorder="1" applyAlignment="1">
      <alignment horizontal="right" vertical="center" shrinkToFit="1"/>
    </xf>
    <xf numFmtId="0" fontId="5" fillId="0" borderId="17" xfId="16" applyFont="1" applyBorder="1" applyAlignment="1">
      <alignment vertical="center"/>
    </xf>
    <xf numFmtId="0" fontId="5" fillId="0" borderId="8" xfId="16" applyFont="1" applyBorder="1" applyAlignment="1">
      <alignment vertical="center"/>
    </xf>
    <xf numFmtId="164" fontId="5" fillId="0" borderId="17" xfId="16" applyNumberFormat="1" applyFont="1" applyBorder="1" applyAlignment="1">
      <alignment horizontal="right" vertical="center" shrinkToFit="1"/>
    </xf>
    <xf numFmtId="165" fontId="5" fillId="0" borderId="18" xfId="16" applyNumberFormat="1" applyFont="1" applyBorder="1" applyAlignment="1">
      <alignment horizontal="right" vertical="center" shrinkToFit="1"/>
    </xf>
    <xf numFmtId="0" fontId="5" fillId="0" borderId="8" xfId="3" applyFont="1" applyBorder="1" applyAlignment="1">
      <alignment vertical="center"/>
    </xf>
    <xf numFmtId="49" fontId="5" fillId="0" borderId="0" xfId="16" applyNumberFormat="1" applyFont="1" applyAlignment="1">
      <alignment horizontal="center" vertical="center"/>
    </xf>
    <xf numFmtId="49" fontId="5" fillId="0" borderId="0" xfId="16" applyNumberFormat="1" applyFont="1" applyAlignment="1">
      <alignment horizontal="center"/>
    </xf>
    <xf numFmtId="0" fontId="8" fillId="0" borderId="0" xfId="4"/>
    <xf numFmtId="0" fontId="15" fillId="0" borderId="0" xfId="4" applyFont="1"/>
    <xf numFmtId="0" fontId="15" fillId="0" borderId="0" xfId="4" applyFont="1" applyAlignment="1">
      <alignment horizontal="right" vertical="center"/>
    </xf>
    <xf numFmtId="0" fontId="9" fillId="0" borderId="19" xfId="16" applyFont="1" applyBorder="1"/>
    <xf numFmtId="0" fontId="9" fillId="0" borderId="15" xfId="4" applyFont="1" applyBorder="1"/>
    <xf numFmtId="0" fontId="13" fillId="0" borderId="0" xfId="4" applyFont="1"/>
    <xf numFmtId="164" fontId="13" fillId="0" borderId="16" xfId="4" applyNumberFormat="1" applyFont="1" applyBorder="1" applyAlignment="1">
      <alignment vertical="center"/>
    </xf>
    <xf numFmtId="165" fontId="13" fillId="0" borderId="16" xfId="4" applyNumberFormat="1" applyFont="1" applyBorder="1" applyAlignment="1">
      <alignment horizontal="right" vertical="center"/>
    </xf>
    <xf numFmtId="0" fontId="9" fillId="0" borderId="0" xfId="4" applyFont="1" applyAlignment="1">
      <alignment horizontal="left" vertical="center" wrapText="1"/>
    </xf>
    <xf numFmtId="169" fontId="13" fillId="0" borderId="16" xfId="4" applyNumberFormat="1" applyFont="1" applyBorder="1" applyAlignment="1">
      <alignment vertical="center"/>
    </xf>
    <xf numFmtId="170" fontId="13" fillId="0" borderId="16" xfId="4" applyNumberFormat="1" applyFont="1" applyBorder="1" applyAlignment="1">
      <alignment horizontal="right" vertical="center"/>
    </xf>
    <xf numFmtId="0" fontId="9" fillId="0" borderId="0" xfId="4" applyFont="1"/>
    <xf numFmtId="0" fontId="9" fillId="0" borderId="0" xfId="4" applyFont="1" applyAlignment="1">
      <alignment vertical="center"/>
    </xf>
    <xf numFmtId="0" fontId="9" fillId="0" borderId="20" xfId="4" applyFont="1" applyBorder="1" applyAlignment="1">
      <alignment vertical="top" textRotation="255" wrapText="1"/>
    </xf>
    <xf numFmtId="0" fontId="13" fillId="0" borderId="19" xfId="4" applyFont="1" applyBorder="1"/>
    <xf numFmtId="167" fontId="13" fillId="0" borderId="21" xfId="4" applyNumberFormat="1" applyFont="1" applyBorder="1" applyAlignment="1">
      <alignment vertical="center"/>
    </xf>
    <xf numFmtId="171" fontId="13" fillId="0" borderId="21" xfId="4" applyNumberFormat="1" applyFont="1" applyBorder="1" applyAlignment="1">
      <alignment horizontal="right" vertical="center"/>
    </xf>
    <xf numFmtId="0" fontId="9" fillId="0" borderId="15" xfId="4" applyFont="1" applyBorder="1" applyAlignment="1">
      <alignment vertical="top" textRotation="255" wrapText="1"/>
    </xf>
    <xf numFmtId="0" fontId="9" fillId="0" borderId="0" xfId="4" applyFont="1" applyAlignment="1">
      <alignment vertical="top" textRotation="255" wrapText="1"/>
    </xf>
    <xf numFmtId="0" fontId="9" fillId="0" borderId="0" xfId="4" applyFont="1" applyAlignment="1">
      <alignment vertical="center" wrapText="1"/>
    </xf>
    <xf numFmtId="0" fontId="9" fillId="0" borderId="8" xfId="4" applyFont="1" applyBorder="1" applyAlignment="1">
      <alignment vertical="top" textRotation="255" wrapText="1"/>
    </xf>
    <xf numFmtId="0" fontId="9" fillId="0" borderId="8" xfId="4" applyFont="1" applyBorder="1" applyAlignment="1">
      <alignment vertical="center" wrapText="1"/>
    </xf>
    <xf numFmtId="0" fontId="13" fillId="0" borderId="22" xfId="4" applyFont="1" applyBorder="1"/>
    <xf numFmtId="164" fontId="13" fillId="0" borderId="18" xfId="4" applyNumberFormat="1" applyFont="1" applyBorder="1" applyAlignment="1">
      <alignment vertical="center"/>
    </xf>
    <xf numFmtId="167" fontId="17" fillId="0" borderId="21" xfId="4" applyNumberFormat="1" applyFont="1" applyBorder="1" applyAlignment="1">
      <alignment vertical="center"/>
    </xf>
    <xf numFmtId="0" fontId="9" fillId="0" borderId="17" xfId="4" applyFont="1" applyBorder="1" applyAlignment="1">
      <alignment vertical="top" textRotation="255" wrapText="1"/>
    </xf>
    <xf numFmtId="165" fontId="13" fillId="0" borderId="18" xfId="4" applyNumberFormat="1" applyFont="1" applyBorder="1" applyAlignment="1">
      <alignment horizontal="right" vertical="center"/>
    </xf>
    <xf numFmtId="0" fontId="18" fillId="0" borderId="0" xfId="4" applyFont="1"/>
    <xf numFmtId="0" fontId="16" fillId="0" borderId="0" xfId="4" applyFont="1"/>
    <xf numFmtId="0" fontId="12" fillId="0" borderId="0" xfId="11" applyFont="1"/>
    <xf numFmtId="0" fontId="12" fillId="0" borderId="0" xfId="7" applyFont="1"/>
    <xf numFmtId="0" fontId="16" fillId="0" borderId="0" xfId="11" applyFont="1"/>
    <xf numFmtId="0" fontId="13" fillId="0" borderId="0" xfId="10" applyFont="1" applyAlignment="1">
      <alignment vertical="center"/>
    </xf>
    <xf numFmtId="0" fontId="16" fillId="0" borderId="0" xfId="11" applyFont="1" applyAlignment="1">
      <alignment vertical="center"/>
    </xf>
    <xf numFmtId="0" fontId="13" fillId="0" borderId="0" xfId="15" applyFont="1" applyAlignment="1">
      <alignment vertical="center"/>
    </xf>
    <xf numFmtId="0" fontId="13" fillId="0" borderId="0" xfId="11" applyFont="1"/>
    <xf numFmtId="0" fontId="13" fillId="0" borderId="0" xfId="6" applyFont="1" applyAlignment="1">
      <alignment horizontal="left" vertical="center"/>
    </xf>
    <xf numFmtId="0" fontId="16" fillId="0" borderId="0" xfId="11" applyFont="1" applyAlignment="1">
      <alignment horizontal="left" vertical="center"/>
    </xf>
    <xf numFmtId="49" fontId="13" fillId="0" borderId="0" xfId="7" applyNumberFormat="1" applyFont="1" applyAlignment="1">
      <alignment horizontal="left" vertical="center"/>
    </xf>
    <xf numFmtId="0" fontId="20" fillId="0" borderId="0" xfId="5" applyFont="1" applyAlignment="1">
      <alignment vertical="top"/>
    </xf>
    <xf numFmtId="0" fontId="8" fillId="0" borderId="0" xfId="5"/>
    <xf numFmtId="0" fontId="10" fillId="0" borderId="0" xfId="5" applyFont="1"/>
    <xf numFmtId="0" fontId="10" fillId="0" borderId="0" xfId="5" applyFont="1" applyAlignment="1">
      <alignment horizontal="right" vertical="center"/>
    </xf>
    <xf numFmtId="0" fontId="21" fillId="0" borderId="0" xfId="5" applyFont="1" applyAlignment="1">
      <alignment vertical="center"/>
    </xf>
    <xf numFmtId="0" fontId="9" fillId="0" borderId="20" xfId="5" applyFont="1" applyBorder="1"/>
    <xf numFmtId="0" fontId="9" fillId="0" borderId="23" xfId="5" applyFont="1" applyBorder="1"/>
    <xf numFmtId="165" fontId="9" fillId="0" borderId="21" xfId="5" applyNumberFormat="1" applyFont="1" applyBorder="1" applyAlignment="1">
      <alignment horizontal="right" vertical="center"/>
    </xf>
    <xf numFmtId="0" fontId="22" fillId="0" borderId="0" xfId="5" applyFont="1" applyAlignment="1">
      <alignment vertical="center"/>
    </xf>
    <xf numFmtId="165" fontId="9" fillId="0" borderId="18" xfId="5" applyNumberFormat="1" applyFont="1" applyBorder="1" applyAlignment="1">
      <alignment horizontal="right" vertical="center"/>
    </xf>
    <xf numFmtId="171" fontId="21" fillId="0" borderId="0" xfId="5" applyNumberFormat="1" applyFont="1" applyAlignment="1">
      <alignment horizontal="right" vertical="center"/>
    </xf>
    <xf numFmtId="0" fontId="9" fillId="0" borderId="20" xfId="5" applyFont="1" applyBorder="1" applyAlignment="1">
      <alignment vertical="top" textRotation="255" wrapText="1"/>
    </xf>
    <xf numFmtId="0" fontId="9" fillId="0" borderId="19" xfId="5" applyFont="1" applyBorder="1"/>
    <xf numFmtId="0" fontId="9" fillId="0" borderId="15" xfId="5" applyFont="1" applyBorder="1" applyAlignment="1">
      <alignment vertical="top" textRotation="255" wrapText="1"/>
    </xf>
    <xf numFmtId="0" fontId="9" fillId="0" borderId="0" xfId="5" applyFont="1" applyAlignment="1">
      <alignment vertical="top" textRotation="255" wrapText="1"/>
    </xf>
    <xf numFmtId="0" fontId="9" fillId="0" borderId="0" xfId="5" applyFont="1" applyAlignment="1">
      <alignment vertical="center"/>
    </xf>
    <xf numFmtId="0" fontId="9" fillId="0" borderId="0" xfId="5" applyFont="1"/>
    <xf numFmtId="165" fontId="9" fillId="0" borderId="16" xfId="5" applyNumberFormat="1" applyFont="1" applyBorder="1" applyAlignment="1">
      <alignment horizontal="right" vertical="center"/>
    </xf>
    <xf numFmtId="0" fontId="9" fillId="0" borderId="8" xfId="5" applyFont="1" applyBorder="1" applyAlignment="1">
      <alignment vertical="top" textRotation="255" wrapText="1"/>
    </xf>
    <xf numFmtId="0" fontId="9" fillId="0" borderId="8" xfId="5" applyFont="1" applyBorder="1" applyAlignment="1">
      <alignment vertical="center"/>
    </xf>
    <xf numFmtId="0" fontId="9" fillId="0" borderId="22" xfId="5" applyFont="1" applyBorder="1"/>
    <xf numFmtId="0" fontId="9" fillId="0" borderId="17" xfId="5" applyFont="1" applyBorder="1" applyAlignment="1">
      <alignment vertical="top" textRotation="255" wrapText="1"/>
    </xf>
    <xf numFmtId="0" fontId="5" fillId="0" borderId="0" xfId="5" applyFont="1"/>
    <xf numFmtId="0" fontId="8" fillId="0" borderId="0" xfId="8"/>
    <xf numFmtId="0" fontId="21" fillId="0" borderId="0" xfId="5" applyFont="1"/>
    <xf numFmtId="165" fontId="5" fillId="0" borderId="13" xfId="15" applyNumberFormat="1" applyFont="1" applyBorder="1" applyAlignment="1">
      <alignment horizontal="right" shrinkToFit="1"/>
    </xf>
    <xf numFmtId="0" fontId="4" fillId="0" borderId="2" xfId="15" applyFont="1" applyBorder="1"/>
    <xf numFmtId="0" fontId="5" fillId="0" borderId="1" xfId="15" applyFont="1" applyBorder="1" applyAlignment="1">
      <alignment horizontal="left" wrapText="1"/>
    </xf>
    <xf numFmtId="165" fontId="5" fillId="0" borderId="1" xfId="15" applyNumberFormat="1" applyFont="1" applyBorder="1" applyAlignment="1">
      <alignment horizontal="right" shrinkToFit="1"/>
    </xf>
    <xf numFmtId="0" fontId="5" fillId="0" borderId="1" xfId="15" applyFont="1" applyBorder="1" applyAlignment="1">
      <alignment horizontal="left"/>
    </xf>
    <xf numFmtId="49" fontId="8" fillId="0" borderId="0" xfId="4" applyNumberFormat="1"/>
    <xf numFmtId="49" fontId="5" fillId="0" borderId="5" xfId="15" applyNumberFormat="1" applyFont="1" applyBorder="1"/>
    <xf numFmtId="0" fontId="5" fillId="0" borderId="19" xfId="16" applyFont="1" applyBorder="1" applyAlignment="1">
      <alignment vertical="center"/>
    </xf>
    <xf numFmtId="172" fontId="5" fillId="0" borderId="3" xfId="15" applyNumberFormat="1" applyFont="1" applyBorder="1" applyAlignment="1">
      <alignment horizontal="right" shrinkToFit="1"/>
    </xf>
    <xf numFmtId="173" fontId="5" fillId="0" borderId="3" xfId="15" applyNumberFormat="1" applyFont="1" applyBorder="1" applyAlignment="1">
      <alignment horizontal="right" shrinkToFit="1"/>
    </xf>
    <xf numFmtId="0" fontId="5" fillId="0" borderId="1" xfId="15" applyFont="1" applyBorder="1" applyAlignment="1">
      <alignment horizontal="center"/>
    </xf>
    <xf numFmtId="174" fontId="5" fillId="0" borderId="3" xfId="15" applyNumberFormat="1" applyFont="1" applyBorder="1" applyAlignment="1">
      <alignment horizontal="right" shrinkToFit="1"/>
    </xf>
    <xf numFmtId="0" fontId="4" fillId="0" borderId="11" xfId="15" applyFont="1" applyBorder="1"/>
    <xf numFmtId="0" fontId="17" fillId="0" borderId="0" xfId="14" applyFont="1"/>
    <xf numFmtId="0" fontId="17" fillId="0" borderId="0" xfId="12" applyFont="1"/>
    <xf numFmtId="167" fontId="5" fillId="0" borderId="0" xfId="14" applyNumberFormat="1" applyFont="1" applyAlignment="1">
      <alignment horizontal="right"/>
    </xf>
    <xf numFmtId="167" fontId="5" fillId="0" borderId="12" xfId="14" applyNumberFormat="1" applyFont="1" applyBorder="1" applyAlignment="1">
      <alignment horizontal="right"/>
    </xf>
    <xf numFmtId="0" fontId="4" fillId="0" borderId="2" xfId="14" applyFont="1" applyBorder="1" applyAlignment="1">
      <alignment horizontal="center" wrapText="1"/>
    </xf>
    <xf numFmtId="171" fontId="24" fillId="0" borderId="2" xfId="0" applyNumberFormat="1" applyFont="1" applyBorder="1" applyAlignment="1">
      <alignment horizontal="right"/>
    </xf>
    <xf numFmtId="171" fontId="24" fillId="0" borderId="4" xfId="0" applyNumberFormat="1" applyFont="1" applyBorder="1" applyAlignment="1">
      <alignment horizontal="right"/>
    </xf>
    <xf numFmtId="167" fontId="5" fillId="0" borderId="11" xfId="14" applyNumberFormat="1" applyFont="1" applyBorder="1" applyAlignment="1">
      <alignment horizontal="right"/>
    </xf>
    <xf numFmtId="166" fontId="24" fillId="0" borderId="2" xfId="0" applyNumberFormat="1" applyFont="1" applyBorder="1" applyAlignment="1">
      <alignment horizontal="right"/>
    </xf>
    <xf numFmtId="166" fontId="24" fillId="0" borderId="3" xfId="0" applyNumberFormat="1" applyFont="1" applyBorder="1" applyAlignment="1">
      <alignment horizontal="right"/>
    </xf>
    <xf numFmtId="0" fontId="25" fillId="0" borderId="0" xfId="0" applyFont="1" applyAlignment="1">
      <alignment vertical="center" wrapText="1"/>
    </xf>
    <xf numFmtId="0" fontId="9" fillId="0" borderId="6" xfId="14" applyFont="1" applyBorder="1" applyAlignment="1">
      <alignment vertical="center" wrapText="1"/>
    </xf>
    <xf numFmtId="0" fontId="9" fillId="0" borderId="7" xfId="14" applyFont="1" applyBorder="1" applyAlignment="1">
      <alignment horizontal="left" vertical="center"/>
    </xf>
    <xf numFmtId="0" fontId="9" fillId="0" borderId="9" xfId="14" applyFont="1" applyBorder="1" applyAlignment="1">
      <alignment vertical="center" wrapText="1"/>
    </xf>
    <xf numFmtId="0" fontId="9" fillId="0" borderId="9" xfId="14" applyFont="1" applyBorder="1" applyAlignment="1">
      <alignment vertical="center"/>
    </xf>
    <xf numFmtId="0" fontId="9" fillId="0" borderId="9" xfId="14" applyFont="1" applyBorder="1" applyAlignment="1">
      <alignment horizontal="left" vertical="center"/>
    </xf>
    <xf numFmtId="0" fontId="25" fillId="0" borderId="11" xfId="0" applyFont="1" applyBorder="1" applyAlignment="1">
      <alignment vertical="center" wrapText="1"/>
    </xf>
    <xf numFmtId="0" fontId="26" fillId="0" borderId="0" xfId="0" applyFont="1">
      <alignment vertical="center"/>
    </xf>
    <xf numFmtId="0" fontId="5" fillId="0" borderId="5" xfId="16" applyFont="1" applyBorder="1"/>
    <xf numFmtId="166" fontId="24" fillId="0" borderId="4" xfId="0" applyNumberFormat="1" applyFont="1" applyBorder="1" applyAlignment="1">
      <alignment horizontal="right"/>
    </xf>
    <xf numFmtId="164" fontId="5" fillId="0" borderId="12" xfId="14" applyNumberFormat="1" applyFont="1" applyBorder="1" applyAlignment="1">
      <alignment horizontal="right"/>
    </xf>
    <xf numFmtId="164" fontId="5" fillId="0" borderId="11" xfId="14" applyNumberFormat="1" applyFont="1" applyBorder="1" applyAlignment="1">
      <alignment horizontal="right"/>
    </xf>
    <xf numFmtId="164" fontId="5" fillId="0" borderId="0" xfId="14" applyNumberFormat="1" applyFont="1" applyAlignment="1">
      <alignment horizontal="right"/>
    </xf>
    <xf numFmtId="0" fontId="5" fillId="0" borderId="0" xfId="0" applyFont="1">
      <alignment vertical="center"/>
    </xf>
    <xf numFmtId="0" fontId="9" fillId="0" borderId="0" xfId="11" applyFont="1"/>
    <xf numFmtId="0" fontId="9" fillId="0" borderId="0" xfId="1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165" fontId="4" fillId="0" borderId="0" xfId="15" applyNumberFormat="1" applyFont="1"/>
    <xf numFmtId="164" fontId="4" fillId="0" borderId="0" xfId="15" applyNumberFormat="1" applyFont="1"/>
    <xf numFmtId="166" fontId="4" fillId="0" borderId="0" xfId="15" applyNumberFormat="1" applyFont="1"/>
    <xf numFmtId="170" fontId="5" fillId="0" borderId="16" xfId="4" applyNumberFormat="1" applyFont="1" applyBorder="1" applyAlignment="1">
      <alignment horizontal="right" vertical="center"/>
    </xf>
    <xf numFmtId="170" fontId="5" fillId="0" borderId="3" xfId="4" applyNumberFormat="1" applyFont="1" applyBorder="1" applyAlignment="1">
      <alignment horizontal="right" vertical="center"/>
    </xf>
    <xf numFmtId="164" fontId="5" fillId="0" borderId="13" xfId="15" applyNumberFormat="1" applyFont="1" applyBorder="1" applyAlignment="1">
      <alignment horizontal="right" shrinkToFit="1"/>
    </xf>
    <xf numFmtId="166" fontId="5" fillId="0" borderId="3" xfId="15" applyNumberFormat="1" applyFont="1" applyBorder="1" applyAlignment="1">
      <alignment horizontal="right" shrinkToFit="1"/>
    </xf>
    <xf numFmtId="0" fontId="5" fillId="0" borderId="2" xfId="14" applyFont="1" applyBorder="1"/>
    <xf numFmtId="0" fontId="5" fillId="0" borderId="3" xfId="14" applyFont="1" applyBorder="1" applyAlignment="1">
      <alignment horizontal="left"/>
    </xf>
    <xf numFmtId="0" fontId="5" fillId="0" borderId="4" xfId="14" applyFont="1" applyBorder="1" applyAlignment="1">
      <alignment horizontal="left"/>
    </xf>
    <xf numFmtId="0" fontId="5" fillId="0" borderId="3" xfId="14" applyFont="1" applyBorder="1"/>
    <xf numFmtId="164" fontId="13" fillId="0" borderId="16" xfId="1" applyNumberFormat="1" applyFont="1" applyBorder="1" applyAlignment="1">
      <alignment vertical="center"/>
    </xf>
    <xf numFmtId="165" fontId="13" fillId="0" borderId="16" xfId="1" applyNumberFormat="1" applyFont="1" applyBorder="1" applyAlignment="1">
      <alignment horizontal="right" vertical="center"/>
    </xf>
    <xf numFmtId="169" fontId="13" fillId="0" borderId="16" xfId="1" applyNumberFormat="1" applyFont="1" applyBorder="1" applyAlignment="1">
      <alignment vertical="center"/>
    </xf>
    <xf numFmtId="170" fontId="13" fillId="0" borderId="16" xfId="1" applyNumberFormat="1" applyFont="1" applyBorder="1" applyAlignment="1">
      <alignment horizontal="right" vertical="center"/>
    </xf>
    <xf numFmtId="164" fontId="5" fillId="0" borderId="2" xfId="14" applyNumberFormat="1" applyFont="1" applyBorder="1" applyAlignment="1">
      <alignment horizontal="right"/>
    </xf>
    <xf numFmtId="164" fontId="5" fillId="0" borderId="4" xfId="14" applyNumberFormat="1" applyFont="1" applyBorder="1" applyAlignment="1">
      <alignment horizontal="right"/>
    </xf>
    <xf numFmtId="164" fontId="5" fillId="0" borderId="3" xfId="14" applyNumberFormat="1" applyFont="1" applyBorder="1" applyAlignment="1">
      <alignment horizontal="right"/>
    </xf>
    <xf numFmtId="175" fontId="5" fillId="0" borderId="2" xfId="15" applyNumberFormat="1" applyFont="1" applyBorder="1" applyAlignment="1">
      <alignment horizontal="center" shrinkToFit="1"/>
    </xf>
    <xf numFmtId="175" fontId="5" fillId="0" borderId="3" xfId="15" applyNumberFormat="1" applyFont="1" applyBorder="1" applyAlignment="1">
      <alignment horizontal="center" shrinkToFit="1"/>
    </xf>
    <xf numFmtId="175" fontId="5" fillId="0" borderId="4" xfId="15" applyNumberFormat="1" applyFont="1" applyBorder="1" applyAlignment="1">
      <alignment horizontal="center" shrinkToFit="1"/>
    </xf>
    <xf numFmtId="0" fontId="4" fillId="0" borderId="0" xfId="13" applyFont="1" applyAlignment="1">
      <alignment horizontal="left" vertical="top" wrapText="1"/>
    </xf>
    <xf numFmtId="0" fontId="4" fillId="0" borderId="0" xfId="0" applyFont="1" applyAlignment="1">
      <alignment vertical="top"/>
    </xf>
    <xf numFmtId="0" fontId="5" fillId="0" borderId="6" xfId="15" applyFont="1" applyBorder="1" applyAlignment="1">
      <alignment horizontal="center" vertical="center"/>
    </xf>
    <xf numFmtId="0" fontId="5" fillId="0" borderId="9" xfId="15" applyFont="1" applyBorder="1" applyAlignment="1">
      <alignment horizontal="center" vertical="center"/>
    </xf>
    <xf numFmtId="49" fontId="5" fillId="0" borderId="7" xfId="15" applyNumberFormat="1" applyFont="1" applyBorder="1" applyAlignment="1">
      <alignment horizontal="center" vertical="center"/>
    </xf>
    <xf numFmtId="0" fontId="5" fillId="0" borderId="7" xfId="15" applyFont="1" applyBorder="1" applyAlignment="1">
      <alignment horizontal="center" vertical="center"/>
    </xf>
    <xf numFmtId="0" fontId="5" fillId="0" borderId="0" xfId="13" applyFont="1" applyAlignment="1">
      <alignment wrapText="1"/>
    </xf>
    <xf numFmtId="0" fontId="5" fillId="0" borderId="0" xfId="13" applyFont="1"/>
    <xf numFmtId="0" fontId="5" fillId="0" borderId="0" xfId="15" applyFont="1"/>
    <xf numFmtId="49" fontId="5" fillId="0" borderId="1" xfId="15" applyNumberFormat="1" applyFont="1" applyBorder="1" applyAlignment="1">
      <alignment horizontal="center"/>
    </xf>
    <xf numFmtId="49" fontId="5" fillId="0" borderId="0" xfId="15" applyNumberFormat="1" applyFont="1"/>
    <xf numFmtId="0" fontId="5" fillId="0" borderId="2" xfId="15" applyFont="1" applyBorder="1" applyAlignment="1">
      <alignment horizontal="center" vertical="center"/>
    </xf>
    <xf numFmtId="0" fontId="5" fillId="0" borderId="4" xfId="15" applyFont="1" applyBorder="1" applyAlignment="1">
      <alignment horizontal="center" vertical="center"/>
    </xf>
    <xf numFmtId="0" fontId="5" fillId="0" borderId="6" xfId="16" applyFont="1" applyBorder="1" applyAlignment="1">
      <alignment horizontal="center" vertical="center"/>
    </xf>
    <xf numFmtId="0" fontId="5" fillId="0" borderId="7" xfId="16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0" xfId="15" applyFont="1" applyAlignment="1">
      <alignment vertical="center"/>
    </xf>
    <xf numFmtId="49" fontId="5" fillId="0" borderId="8" xfId="15" applyNumberFormat="1" applyFont="1" applyBorder="1" applyAlignment="1">
      <alignment horizontal="center"/>
    </xf>
    <xf numFmtId="49" fontId="5" fillId="0" borderId="23" xfId="15" applyNumberFormat="1" applyFont="1" applyBorder="1" applyAlignment="1">
      <alignment horizontal="center"/>
    </xf>
    <xf numFmtId="0" fontId="4" fillId="0" borderId="0" xfId="15" applyFont="1" applyAlignment="1">
      <alignment vertical="center"/>
    </xf>
    <xf numFmtId="0" fontId="0" fillId="0" borderId="0" xfId="0" applyAlignment="1"/>
    <xf numFmtId="0" fontId="5" fillId="0" borderId="3" xfId="15" applyFont="1" applyBorder="1" applyAlignment="1">
      <alignment horizontal="left"/>
    </xf>
    <xf numFmtId="0" fontId="8" fillId="0" borderId="3" xfId="9" applyBorder="1"/>
    <xf numFmtId="0" fontId="5" fillId="0" borderId="2" xfId="15" applyFont="1" applyBorder="1" applyAlignment="1">
      <alignment horizontal="left"/>
    </xf>
    <xf numFmtId="49" fontId="5" fillId="0" borderId="2" xfId="15" applyNumberFormat="1" applyFont="1" applyBorder="1" applyAlignment="1">
      <alignment horizontal="center" vertical="center"/>
    </xf>
    <xf numFmtId="49" fontId="5" fillId="0" borderId="4" xfId="15" applyNumberFormat="1" applyFont="1" applyBorder="1" applyAlignment="1">
      <alignment horizontal="center" vertical="center"/>
    </xf>
    <xf numFmtId="0" fontId="5" fillId="0" borderId="8" xfId="15" applyFont="1" applyBorder="1" applyAlignment="1">
      <alignment horizontal="center"/>
    </xf>
    <xf numFmtId="0" fontId="4" fillId="0" borderId="23" xfId="15" applyFont="1" applyBorder="1" applyAlignment="1">
      <alignment horizontal="center"/>
    </xf>
    <xf numFmtId="49" fontId="5" fillId="0" borderId="6" xfId="15" applyNumberFormat="1" applyFont="1" applyBorder="1" applyAlignment="1">
      <alignment horizontal="center" vertical="center"/>
    </xf>
    <xf numFmtId="165" fontId="5" fillId="0" borderId="24" xfId="15" applyNumberFormat="1" applyFont="1" applyBorder="1" applyAlignment="1">
      <alignment horizontal="center" shrinkToFit="1"/>
    </xf>
    <xf numFmtId="165" fontId="5" fillId="0" borderId="25" xfId="15" applyNumberFormat="1" applyFont="1" applyBorder="1" applyAlignment="1">
      <alignment horizontal="center" shrinkToFit="1"/>
    </xf>
    <xf numFmtId="0" fontId="5" fillId="0" borderId="0" xfId="15" applyFont="1" applyAlignment="1">
      <alignment horizontal="center"/>
    </xf>
    <xf numFmtId="0" fontId="5" fillId="0" borderId="3" xfId="15" applyFont="1" applyBorder="1" applyAlignment="1">
      <alignment horizontal="center" vertical="center"/>
    </xf>
    <xf numFmtId="0" fontId="10" fillId="0" borderId="12" xfId="2" applyFont="1" applyBorder="1" applyAlignment="1">
      <alignment horizontal="right" vertical="center"/>
    </xf>
    <xf numFmtId="49" fontId="9" fillId="0" borderId="6" xfId="2" applyNumberFormat="1" applyFont="1" applyBorder="1" applyAlignment="1">
      <alignment horizontal="center" vertical="center"/>
    </xf>
    <xf numFmtId="49" fontId="9" fillId="0" borderId="9" xfId="2" applyNumberFormat="1" applyFont="1" applyBorder="1" applyAlignment="1">
      <alignment horizontal="center" vertical="center"/>
    </xf>
    <xf numFmtId="49" fontId="9" fillId="0" borderId="7" xfId="2" applyNumberFormat="1" applyFont="1" applyBorder="1" applyAlignment="1">
      <alignment horizontal="center" vertical="center"/>
    </xf>
    <xf numFmtId="0" fontId="3" fillId="0" borderId="0" xfId="2" applyFont="1" applyAlignment="1">
      <alignment horizontal="center" vertical="top"/>
    </xf>
    <xf numFmtId="0" fontId="9" fillId="0" borderId="6" xfId="2" applyFont="1" applyBorder="1" applyAlignment="1">
      <alignment horizontal="center" vertical="center" wrapText="1"/>
    </xf>
    <xf numFmtId="0" fontId="9" fillId="0" borderId="11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7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9" fillId="0" borderId="0" xfId="2" applyFont="1" applyAlignment="1">
      <alignment horizontal="left" vertical="center" shrinkToFit="1"/>
    </xf>
    <xf numFmtId="0" fontId="11" fillId="0" borderId="4" xfId="2" applyFont="1" applyBorder="1" applyAlignment="1">
      <alignment horizontal="center" vertical="center"/>
    </xf>
    <xf numFmtId="0" fontId="9" fillId="0" borderId="0" xfId="2" applyFont="1" applyAlignment="1">
      <alignment vertical="center" wrapText="1" shrinkToFit="1"/>
    </xf>
    <xf numFmtId="0" fontId="9" fillId="0" borderId="0" xfId="2" applyFont="1" applyAlignment="1">
      <alignment vertical="center" shrinkToFit="1"/>
    </xf>
    <xf numFmtId="0" fontId="9" fillId="0" borderId="12" xfId="2" applyFont="1" applyBorder="1" applyAlignment="1">
      <alignment vertical="center" shrinkToFit="1"/>
    </xf>
    <xf numFmtId="0" fontId="9" fillId="0" borderId="11" xfId="2" applyFont="1" applyBorder="1" applyAlignment="1">
      <alignment vertical="center" wrapText="1" shrinkToFit="1"/>
    </xf>
    <xf numFmtId="0" fontId="9" fillId="0" borderId="11" xfId="2" applyFont="1" applyBorder="1" applyAlignment="1">
      <alignment vertical="center" shrinkToFit="1"/>
    </xf>
    <xf numFmtId="0" fontId="12" fillId="0" borderId="0" xfId="6" applyFont="1" applyAlignment="1">
      <alignment horizontal="left" vertical="center"/>
    </xf>
    <xf numFmtId="0" fontId="13" fillId="0" borderId="0" xfId="6" applyFont="1" applyAlignment="1">
      <alignment vertical="center" shrinkToFit="1"/>
    </xf>
    <xf numFmtId="0" fontId="5" fillId="0" borderId="20" xfId="3" applyFont="1" applyBorder="1" applyAlignment="1">
      <alignment horizontal="left" vertical="center" wrapText="1"/>
    </xf>
    <xf numFmtId="0" fontId="5" fillId="0" borderId="23" xfId="3" applyFont="1" applyBorder="1" applyAlignment="1">
      <alignment horizontal="left" vertical="center" wrapText="1"/>
    </xf>
    <xf numFmtId="0" fontId="5" fillId="0" borderId="0" xfId="3" applyFont="1" applyAlignment="1">
      <alignment vertical="center"/>
    </xf>
    <xf numFmtId="0" fontId="5" fillId="0" borderId="15" xfId="3" applyFont="1" applyBorder="1" applyAlignment="1">
      <alignment horizontal="left" vertical="center" wrapText="1"/>
    </xf>
    <xf numFmtId="0" fontId="5" fillId="0" borderId="0" xfId="3" applyFont="1" applyAlignment="1">
      <alignment horizontal="left" vertical="center" wrapText="1"/>
    </xf>
    <xf numFmtId="0" fontId="3" fillId="0" borderId="0" xfId="12" applyFont="1" applyAlignment="1">
      <alignment horizontal="center"/>
    </xf>
    <xf numFmtId="0" fontId="0" fillId="0" borderId="0" xfId="0" applyAlignment="1">
      <alignment horizontal="center"/>
    </xf>
    <xf numFmtId="0" fontId="5" fillId="0" borderId="20" xfId="16" applyFont="1" applyBorder="1" applyAlignment="1">
      <alignment horizontal="center" vertical="center" wrapText="1"/>
    </xf>
    <xf numFmtId="0" fontId="5" fillId="0" borderId="23" xfId="16" applyFont="1" applyBorder="1" applyAlignment="1">
      <alignment horizontal="center" vertical="center" wrapText="1"/>
    </xf>
    <xf numFmtId="0" fontId="5" fillId="0" borderId="19" xfId="16" applyFont="1" applyBorder="1" applyAlignment="1">
      <alignment horizontal="center" vertical="center" wrapText="1"/>
    </xf>
    <xf numFmtId="0" fontId="5" fillId="0" borderId="17" xfId="16" applyFont="1" applyBorder="1" applyAlignment="1">
      <alignment horizontal="center" vertical="center" wrapText="1"/>
    </xf>
    <xf numFmtId="0" fontId="5" fillId="0" borderId="8" xfId="16" applyFont="1" applyBorder="1" applyAlignment="1">
      <alignment horizontal="center" vertical="center" wrapText="1"/>
    </xf>
    <xf numFmtId="0" fontId="5" fillId="0" borderId="22" xfId="16" applyFont="1" applyBorder="1" applyAlignment="1">
      <alignment horizontal="center" vertical="center" wrapText="1"/>
    </xf>
    <xf numFmtId="0" fontId="5" fillId="0" borderId="20" xfId="16" applyFont="1" applyBorder="1" applyAlignment="1">
      <alignment horizontal="center" vertical="center"/>
    </xf>
    <xf numFmtId="0" fontId="5" fillId="0" borderId="17" xfId="16" applyFont="1" applyBorder="1" applyAlignment="1">
      <alignment horizontal="center" vertical="center"/>
    </xf>
    <xf numFmtId="0" fontId="4" fillId="0" borderId="8" xfId="16" applyFont="1" applyBorder="1" applyAlignment="1">
      <alignment horizontal="right"/>
    </xf>
    <xf numFmtId="0" fontId="9" fillId="0" borderId="0" xfId="4" applyFont="1" applyAlignment="1">
      <alignment vertical="center" shrinkToFit="1"/>
    </xf>
    <xf numFmtId="0" fontId="9" fillId="0" borderId="0" xfId="4" applyFont="1" applyAlignment="1">
      <alignment horizontal="left" vertical="center" shrinkToFit="1"/>
    </xf>
    <xf numFmtId="0" fontId="9" fillId="0" borderId="20" xfId="16" applyFont="1" applyBorder="1" applyAlignment="1">
      <alignment horizontal="center" vertical="center"/>
    </xf>
    <xf numFmtId="0" fontId="9" fillId="0" borderId="15" xfId="16" applyFont="1" applyBorder="1" applyAlignment="1">
      <alignment horizontal="center" vertical="center"/>
    </xf>
    <xf numFmtId="0" fontId="9" fillId="0" borderId="17" xfId="16" applyFont="1" applyBorder="1" applyAlignment="1">
      <alignment horizontal="center" vertical="center"/>
    </xf>
    <xf numFmtId="0" fontId="9" fillId="0" borderId="20" xfId="4" applyFont="1" applyBorder="1" applyAlignment="1">
      <alignment horizontal="center" vertical="center" wrapText="1"/>
    </xf>
    <xf numFmtId="0" fontId="9" fillId="0" borderId="23" xfId="4" applyFont="1" applyBorder="1" applyAlignment="1">
      <alignment horizontal="center" vertical="center" wrapText="1"/>
    </xf>
    <xf numFmtId="0" fontId="9" fillId="0" borderId="15" xfId="4" applyFont="1" applyBorder="1" applyAlignment="1">
      <alignment horizontal="center" vertical="center" wrapText="1"/>
    </xf>
    <xf numFmtId="0" fontId="9" fillId="0" borderId="0" xfId="4" applyFont="1" applyAlignment="1">
      <alignment horizontal="center" vertical="center" wrapText="1"/>
    </xf>
    <xf numFmtId="0" fontId="9" fillId="0" borderId="26" xfId="4" applyFont="1" applyBorder="1" applyAlignment="1">
      <alignment horizontal="center" vertical="center" wrapText="1"/>
    </xf>
    <xf numFmtId="0" fontId="9" fillId="0" borderId="17" xfId="4" applyFont="1" applyBorder="1" applyAlignment="1">
      <alignment horizontal="center" vertical="center" wrapText="1"/>
    </xf>
    <xf numFmtId="0" fontId="9" fillId="0" borderId="8" xfId="4" applyFont="1" applyBorder="1" applyAlignment="1">
      <alignment horizontal="center" vertical="center" wrapText="1"/>
    </xf>
    <xf numFmtId="0" fontId="9" fillId="0" borderId="22" xfId="4" applyFont="1" applyBorder="1" applyAlignment="1">
      <alignment horizontal="center" vertical="center" wrapText="1"/>
    </xf>
    <xf numFmtId="0" fontId="11" fillId="0" borderId="21" xfId="4" applyFont="1" applyBorder="1" applyAlignment="1">
      <alignment horizontal="center" vertical="center" wrapText="1"/>
    </xf>
    <xf numFmtId="0" fontId="1" fillId="0" borderId="18" xfId="4" applyFont="1" applyBorder="1" applyAlignment="1">
      <alignment horizontal="center" vertical="center"/>
    </xf>
    <xf numFmtId="0" fontId="11" fillId="0" borderId="18" xfId="4" applyFont="1" applyBorder="1" applyAlignment="1">
      <alignment horizontal="center" vertical="center" wrapText="1"/>
    </xf>
    <xf numFmtId="0" fontId="9" fillId="0" borderId="23" xfId="4" applyFont="1" applyBorder="1" applyAlignment="1">
      <alignment horizontal="left" vertical="center" wrapText="1"/>
    </xf>
    <xf numFmtId="0" fontId="9" fillId="0" borderId="0" xfId="4" applyFont="1" applyAlignment="1">
      <alignment vertical="center" wrapText="1"/>
    </xf>
    <xf numFmtId="0" fontId="9" fillId="0" borderId="8" xfId="4" applyFont="1" applyBorder="1" applyAlignment="1">
      <alignment vertical="center" wrapText="1"/>
    </xf>
    <xf numFmtId="0" fontId="9" fillId="0" borderId="23" xfId="4" applyFont="1" applyBorder="1" applyAlignment="1">
      <alignment vertical="center" wrapText="1"/>
    </xf>
    <xf numFmtId="0" fontId="13" fillId="0" borderId="0" xfId="11" applyFont="1" applyAlignment="1">
      <alignment vertical="center" wrapText="1"/>
    </xf>
    <xf numFmtId="0" fontId="13" fillId="0" borderId="0" xfId="11" applyFont="1" applyAlignment="1">
      <alignment vertical="center"/>
    </xf>
    <xf numFmtId="0" fontId="13" fillId="0" borderId="0" xfId="13" applyFont="1" applyAlignment="1">
      <alignment horizontal="left" vertical="center"/>
    </xf>
    <xf numFmtId="0" fontId="1" fillId="0" borderId="0" xfId="17" applyAlignment="1">
      <alignment horizontal="left" vertical="center"/>
    </xf>
    <xf numFmtId="0" fontId="1" fillId="0" borderId="0" xfId="17">
      <alignment vertical="center"/>
    </xf>
    <xf numFmtId="0" fontId="13" fillId="0" borderId="0" xfId="11" applyFont="1" applyAlignment="1">
      <alignment vertical="center" shrinkToFit="1"/>
    </xf>
    <xf numFmtId="0" fontId="13" fillId="0" borderId="0" xfId="7" applyFont="1" applyAlignment="1">
      <alignment vertical="center" shrinkToFit="1"/>
    </xf>
    <xf numFmtId="0" fontId="12" fillId="0" borderId="0" xfId="11" applyFont="1" applyAlignment="1">
      <alignment vertical="center"/>
    </xf>
    <xf numFmtId="0" fontId="12" fillId="0" borderId="0" xfId="7" applyFont="1" applyAlignment="1">
      <alignment vertical="center"/>
    </xf>
    <xf numFmtId="0" fontId="13" fillId="0" borderId="0" xfId="10" applyFont="1" applyAlignment="1">
      <alignment vertical="center"/>
    </xf>
    <xf numFmtId="0" fontId="9" fillId="0" borderId="0" xfId="5" applyFont="1" applyAlignment="1">
      <alignment vertical="center"/>
    </xf>
    <xf numFmtId="0" fontId="9" fillId="0" borderId="21" xfId="16" applyFont="1" applyBorder="1" applyAlignment="1">
      <alignment horizontal="center" vertical="center"/>
    </xf>
    <xf numFmtId="0" fontId="9" fillId="0" borderId="18" xfId="16" applyFont="1" applyBorder="1" applyAlignment="1">
      <alignment horizontal="center" vertical="center"/>
    </xf>
    <xf numFmtId="0" fontId="9" fillId="0" borderId="23" xfId="5" applyFont="1" applyBorder="1" applyAlignment="1">
      <alignment horizontal="left" vertical="center" wrapText="1"/>
    </xf>
    <xf numFmtId="0" fontId="19" fillId="0" borderId="0" xfId="12" applyFont="1" applyAlignment="1">
      <alignment horizontal="center" vertical="center"/>
    </xf>
    <xf numFmtId="0" fontId="5" fillId="0" borderId="20" xfId="5" applyFont="1" applyBorder="1" applyAlignment="1">
      <alignment horizontal="center" vertical="center" wrapText="1"/>
    </xf>
    <xf numFmtId="0" fontId="5" fillId="0" borderId="23" xfId="5" applyFont="1" applyBorder="1" applyAlignment="1">
      <alignment horizontal="center" vertical="center" wrapText="1"/>
    </xf>
    <xf numFmtId="0" fontId="5" fillId="0" borderId="17" xfId="5" applyFont="1" applyBorder="1" applyAlignment="1">
      <alignment horizontal="center" vertical="center" wrapText="1"/>
    </xf>
    <xf numFmtId="0" fontId="5" fillId="0" borderId="8" xfId="5" applyFont="1" applyBorder="1" applyAlignment="1">
      <alignment horizontal="center" vertical="center" wrapText="1"/>
    </xf>
    <xf numFmtId="0" fontId="5" fillId="0" borderId="22" xfId="5" applyFont="1" applyBorder="1" applyAlignment="1">
      <alignment horizontal="center" vertical="center" wrapText="1"/>
    </xf>
    <xf numFmtId="0" fontId="9" fillId="0" borderId="23" xfId="5" applyFont="1" applyBorder="1" applyAlignment="1">
      <alignment vertical="center"/>
    </xf>
    <xf numFmtId="0" fontId="10" fillId="0" borderId="0" xfId="8" applyFont="1" applyAlignment="1">
      <alignment vertical="center"/>
    </xf>
    <xf numFmtId="0" fontId="9" fillId="0" borderId="8" xfId="5" applyFont="1" applyBorder="1" applyAlignment="1">
      <alignment vertical="center"/>
    </xf>
    <xf numFmtId="0" fontId="9" fillId="0" borderId="0" xfId="15" applyFont="1" applyAlignment="1">
      <alignment horizontal="center"/>
    </xf>
    <xf numFmtId="0" fontId="9" fillId="0" borderId="0" xfId="15" applyFont="1" applyAlignment="1">
      <alignment vertical="center"/>
    </xf>
    <xf numFmtId="0" fontId="9" fillId="0" borderId="0" xfId="11" applyFont="1" applyAlignment="1">
      <alignment vertical="center"/>
    </xf>
    <xf numFmtId="0" fontId="10" fillId="0" borderId="0" xfId="10" applyFont="1" applyAlignment="1">
      <alignment vertical="center"/>
    </xf>
    <xf numFmtId="0" fontId="23" fillId="0" borderId="0" xfId="11" applyFont="1" applyAlignment="1">
      <alignment vertical="center"/>
    </xf>
    <xf numFmtId="0" fontId="8" fillId="0" borderId="0" xfId="8" applyAlignment="1">
      <alignment vertical="center"/>
    </xf>
    <xf numFmtId="0" fontId="8" fillId="0" borderId="0" xfId="8"/>
    <xf numFmtId="0" fontId="9" fillId="0" borderId="0" xfId="11" applyFont="1" applyAlignment="1">
      <alignment horizontal="left"/>
    </xf>
    <xf numFmtId="0" fontId="0" fillId="0" borderId="0" xfId="0" applyAlignment="1">
      <alignment horizontal="left"/>
    </xf>
  </cellXfs>
  <cellStyles count="18">
    <cellStyle name="Normal" xfId="0" builtinId="0"/>
    <cellStyle name="標準 2" xfId="1" xr:uid="{3070E031-CCD6-43F5-915E-EB3293B548E1}"/>
    <cellStyle name="標準_A22201" xfId="2" xr:uid="{4D2F7B41-BC5B-48B5-8306-D7465C72A93A}"/>
    <cellStyle name="標準_A22301" xfId="3" xr:uid="{1CE30E4E-E90F-463D-8E39-0D14732B4BB4}"/>
    <cellStyle name="標準_A22401" xfId="4" xr:uid="{2410CC0B-FAA7-42C9-AE5C-AACD847C3F33}"/>
    <cellStyle name="標準_A22501" xfId="5" xr:uid="{328EB5EF-D630-431B-B3E1-C1994966AF86}"/>
    <cellStyle name="標準_A30101" xfId="6" xr:uid="{FECBB32A-6D56-4BF8-9D56-00D643D0E001}"/>
    <cellStyle name="標準_A30201" xfId="7" xr:uid="{8B6F7410-E994-44FE-817C-3FF3DB78808B}"/>
    <cellStyle name="標準_A30301" xfId="8" xr:uid="{9702E468-E826-4BB8-B360-E93FA3A0F02E}"/>
    <cellStyle name="標準_B24001" xfId="9" xr:uid="{607C44F5-AFF6-40BD-909C-E76D1C6FF634}"/>
    <cellStyle name="標準_h19e" xfId="10" xr:uid="{9C82D4B2-AF75-42E9-89A7-D30934970670}"/>
    <cellStyle name="標準_報道発表資料（英語版）" xfId="17" xr:uid="{A6FA2836-1723-4851-A437-4D3772004A20}"/>
    <cellStyle name="標準_帳票レイアウト(パターンA)_帳票元" xfId="12" xr:uid="{DDDD833F-04D0-4CEA-9266-4ECD514D06C6}"/>
    <cellStyle name="標準_帳票レイアウト(季報新聞発表用_日本語)" xfId="14" xr:uid="{A6601E2A-589E-45DB-A0F9-4F79DD0F3E40}"/>
    <cellStyle name="標準_帳票レイアウト(季報新聞発表用_英語)" xfId="13" xr:uid="{1C157DA9-52A7-4A9C-8328-8100E6E1A1A0}"/>
    <cellStyle name="標準_帳票レイアウト(年報新聞発表用_日本語)" xfId="16" xr:uid="{B097F649-F612-475C-8DE6-345EE1D8A023}"/>
    <cellStyle name="標準_帳票レイアウト(年報新聞発表用_英語)" xfId="15" xr:uid="{BC636FC8-E394-477F-9514-6A501193C35F}"/>
    <cellStyle name="標準_経常利益、設備投資、自己資本比率" xfId="11" xr:uid="{5D884C2E-0AEE-43FF-9013-E70AD1E26A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2063750</xdr:colOff>
      <xdr:row>21</xdr:row>
      <xdr:rowOff>0</xdr:rowOff>
    </xdr:from>
    <xdr:to>
      <xdr:col>15</xdr:col>
      <xdr:colOff>1301750</xdr:colOff>
      <xdr:row>21</xdr:row>
      <xdr:rowOff>0</xdr:rowOff>
    </xdr:to>
    <xdr:sp macro="" textlink="">
      <xdr:nvSpPr>
        <xdr:cNvPr id="1343" name="Line 1">
          <a:extLst>
            <a:ext uri="{FF2B5EF4-FFF2-40B4-BE49-F238E27FC236}">
              <a16:creationId xmlns:a16="http://schemas.microsoft.com/office/drawing/2014/main" id="{7D725203-58FE-E136-667A-233E30E09A96}"/>
            </a:ext>
          </a:extLst>
        </xdr:cNvPr>
        <xdr:cNvSpPr>
          <a:spLocks noChangeShapeType="1"/>
        </xdr:cNvSpPr>
      </xdr:nvSpPr>
      <xdr:spPr bwMode="auto">
        <a:xfrm>
          <a:off x="2355850" y="6000750"/>
          <a:ext cx="25082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3FED5-350E-46D0-B8D0-1D214571707B}">
  <sheetPr codeName="Sheet6">
    <tabColor rgb="FFFFC000"/>
    <pageSetUpPr fitToPage="1"/>
  </sheetPr>
  <dimension ref="A1:L46"/>
  <sheetViews>
    <sheetView tabSelected="1" view="pageBreakPreview" zoomScaleNormal="100" zoomScaleSheetLayoutView="100" workbookViewId="0"/>
  </sheetViews>
  <sheetFormatPr defaultColWidth="9" defaultRowHeight="11"/>
  <cols>
    <col min="1" max="1" width="51.7265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A1" s="1" t="s">
        <v>4</v>
      </c>
    </row>
    <row r="2" spans="1:11" ht="19">
      <c r="D2" s="1" t="s">
        <v>5</v>
      </c>
    </row>
    <row r="3" spans="1:11" ht="19">
      <c r="D3" s="1"/>
    </row>
    <row r="4" spans="1:11" ht="11.5" thickBot="1">
      <c r="K4" s="3" t="s">
        <v>3</v>
      </c>
    </row>
    <row r="5" spans="1:11" ht="12" customHeight="1" thickBot="1">
      <c r="A5" s="217" t="s">
        <v>6</v>
      </c>
      <c r="B5" s="217">
        <v>2017</v>
      </c>
      <c r="C5" s="159"/>
      <c r="D5" s="217">
        <v>2018</v>
      </c>
      <c r="E5" s="159"/>
      <c r="F5" s="217">
        <v>2019</v>
      </c>
      <c r="G5" s="159"/>
      <c r="H5" s="217">
        <v>2020</v>
      </c>
      <c r="I5" s="159"/>
      <c r="J5" s="217">
        <v>2021</v>
      </c>
      <c r="K5" s="159"/>
    </row>
    <row r="6" spans="1:11" ht="25" customHeight="1" thickBot="1">
      <c r="A6" s="218"/>
      <c r="B6" s="220"/>
      <c r="C6" s="4" t="s">
        <v>7</v>
      </c>
      <c r="D6" s="220"/>
      <c r="E6" s="4" t="s">
        <v>7</v>
      </c>
      <c r="F6" s="220"/>
      <c r="G6" s="4" t="s">
        <v>7</v>
      </c>
      <c r="H6" s="219"/>
      <c r="I6" s="4" t="s">
        <v>7</v>
      </c>
      <c r="J6" s="219"/>
      <c r="K6" s="4" t="s">
        <v>7</v>
      </c>
    </row>
    <row r="7" spans="1:11" ht="18" customHeight="1">
      <c r="A7" s="5" t="s">
        <v>8</v>
      </c>
      <c r="B7" s="6">
        <v>15441428.08</v>
      </c>
      <c r="C7" s="7">
        <v>6.0715180000000002</v>
      </c>
      <c r="D7" s="6">
        <v>15352114.24</v>
      </c>
      <c r="E7" s="7">
        <v>-0.57840400000000003</v>
      </c>
      <c r="F7" s="6">
        <v>14818985.869999999</v>
      </c>
      <c r="G7" s="7">
        <v>-3.4726710000000001</v>
      </c>
      <c r="H7" s="6">
        <v>13624696.09</v>
      </c>
      <c r="I7" s="7">
        <v>-8.0591869999999997</v>
      </c>
      <c r="J7" s="6">
        <v>14478877.880000001</v>
      </c>
      <c r="K7" s="7">
        <v>6.2693640000000004</v>
      </c>
    </row>
    <row r="8" spans="1:11" ht="18" customHeight="1">
      <c r="A8" s="8" t="s">
        <v>9</v>
      </c>
      <c r="B8" s="6">
        <v>4062597.88</v>
      </c>
      <c r="C8" s="7">
        <v>2.7045970000000001</v>
      </c>
      <c r="D8" s="6">
        <v>4142697.75</v>
      </c>
      <c r="E8" s="7">
        <v>1.9716419999999999</v>
      </c>
      <c r="F8" s="6">
        <v>3984996.97</v>
      </c>
      <c r="G8" s="7">
        <v>-3.8067169999999999</v>
      </c>
      <c r="H8" s="6">
        <v>3650947.78</v>
      </c>
      <c r="I8" s="7">
        <v>-8.3826710000000002</v>
      </c>
      <c r="J8" s="6">
        <v>4017739.79</v>
      </c>
      <c r="K8" s="7">
        <v>10.046487000000001</v>
      </c>
    </row>
    <row r="9" spans="1:11" ht="18" customHeight="1">
      <c r="A9" s="8" t="s">
        <v>10</v>
      </c>
      <c r="B9" s="6">
        <v>448843.61</v>
      </c>
      <c r="C9" s="7">
        <v>-0.88370800000000005</v>
      </c>
      <c r="D9" s="6">
        <v>458416.1</v>
      </c>
      <c r="E9" s="7">
        <v>2.132701</v>
      </c>
      <c r="F9" s="6">
        <v>441286.76</v>
      </c>
      <c r="G9" s="7">
        <v>-3.7366359999999998</v>
      </c>
      <c r="H9" s="6">
        <v>421310.88</v>
      </c>
      <c r="I9" s="7">
        <v>-4.5267340000000003</v>
      </c>
      <c r="J9" s="6">
        <v>416384.87</v>
      </c>
      <c r="K9" s="7">
        <v>-1.1692100000000001</v>
      </c>
    </row>
    <row r="10" spans="1:11" ht="18" customHeight="1">
      <c r="A10" s="8" t="s">
        <v>11</v>
      </c>
      <c r="B10" s="6">
        <v>407851.1</v>
      </c>
      <c r="C10" s="7">
        <v>1.4218489999999999</v>
      </c>
      <c r="D10" s="6">
        <v>428058.62</v>
      </c>
      <c r="E10" s="7">
        <v>4.9546320000000001</v>
      </c>
      <c r="F10" s="6">
        <v>416867.57</v>
      </c>
      <c r="G10" s="7">
        <v>-2.6143730000000001</v>
      </c>
      <c r="H10" s="6">
        <v>395618.03</v>
      </c>
      <c r="I10" s="7">
        <v>-5.0974320000000004</v>
      </c>
      <c r="J10" s="6">
        <v>440298.78</v>
      </c>
      <c r="K10" s="7">
        <v>11.293911</v>
      </c>
    </row>
    <row r="11" spans="1:11" s="10" customFormat="1" ht="18" customHeight="1">
      <c r="A11" s="9" t="s">
        <v>12</v>
      </c>
      <c r="B11" s="6">
        <v>104957.12</v>
      </c>
      <c r="C11" s="7">
        <v>-4.9420960000000003</v>
      </c>
      <c r="D11" s="6">
        <v>113149.93</v>
      </c>
      <c r="E11" s="7">
        <v>7.8058639999999997</v>
      </c>
      <c r="F11" s="6">
        <v>108587.63</v>
      </c>
      <c r="G11" s="7">
        <v>-4.0320840000000002</v>
      </c>
      <c r="H11" s="6">
        <v>85334.05</v>
      </c>
      <c r="I11" s="7">
        <v>-21.414574999999999</v>
      </c>
      <c r="J11" s="6">
        <v>111956.7</v>
      </c>
      <c r="K11" s="7">
        <v>31.198156000000001</v>
      </c>
    </row>
    <row r="12" spans="1:11" s="10" customFormat="1" ht="18" customHeight="1">
      <c r="A12" s="9" t="s">
        <v>13</v>
      </c>
      <c r="B12" s="6">
        <v>166754.10999999999</v>
      </c>
      <c r="C12" s="7">
        <v>10.631795</v>
      </c>
      <c r="D12" s="6">
        <v>172001.35</v>
      </c>
      <c r="E12" s="7">
        <v>3.146693</v>
      </c>
      <c r="F12" s="6">
        <v>155334.89000000001</v>
      </c>
      <c r="G12" s="7">
        <v>-9.6897260000000003</v>
      </c>
      <c r="H12" s="6">
        <v>136281.84</v>
      </c>
      <c r="I12" s="7">
        <v>-12.265789</v>
      </c>
      <c r="J12" s="6">
        <v>187347.52</v>
      </c>
      <c r="K12" s="7">
        <v>37.470641999999998</v>
      </c>
    </row>
    <row r="13" spans="1:11" ht="18" customHeight="1">
      <c r="A13" s="8" t="s">
        <v>14</v>
      </c>
      <c r="B13" s="6">
        <v>197417.09</v>
      </c>
      <c r="C13" s="7">
        <v>4.7012910000000003</v>
      </c>
      <c r="D13" s="6">
        <v>208771.49</v>
      </c>
      <c r="E13" s="7">
        <v>5.7514779999999996</v>
      </c>
      <c r="F13" s="6">
        <v>203113.57</v>
      </c>
      <c r="G13" s="7">
        <v>-2.710102</v>
      </c>
      <c r="H13" s="6">
        <v>169511.75</v>
      </c>
      <c r="I13" s="7">
        <v>-16.543365000000001</v>
      </c>
      <c r="J13" s="6">
        <v>184360</v>
      </c>
      <c r="K13" s="7">
        <v>8.7594220000000007</v>
      </c>
    </row>
    <row r="14" spans="1:11" ht="18" customHeight="1">
      <c r="A14" s="8" t="s">
        <v>217</v>
      </c>
      <c r="B14" s="6">
        <v>73427.27</v>
      </c>
      <c r="C14" s="7">
        <v>10.18779</v>
      </c>
      <c r="D14" s="6">
        <v>74636.47</v>
      </c>
      <c r="E14" s="7">
        <v>1.6468</v>
      </c>
      <c r="F14" s="6">
        <v>70281.3</v>
      </c>
      <c r="G14" s="7">
        <v>-5.8351769999999998</v>
      </c>
      <c r="H14" s="6">
        <v>66835.399999999994</v>
      </c>
      <c r="I14" s="7">
        <v>-4.9030110000000002</v>
      </c>
      <c r="J14" s="6">
        <v>69774.19</v>
      </c>
      <c r="K14" s="7">
        <v>4.3970560000000001</v>
      </c>
    </row>
    <row r="15" spans="1:11" ht="18" customHeight="1">
      <c r="A15" s="8" t="s">
        <v>218</v>
      </c>
      <c r="B15" s="6">
        <v>242509.84</v>
      </c>
      <c r="C15" s="7">
        <v>8.1042539999999992</v>
      </c>
      <c r="D15" s="6">
        <v>268834.81</v>
      </c>
      <c r="E15" s="7">
        <v>10.855217</v>
      </c>
      <c r="F15" s="6">
        <v>234539.4</v>
      </c>
      <c r="G15" s="7">
        <v>-12.757057</v>
      </c>
      <c r="H15" s="6">
        <v>213672.66</v>
      </c>
      <c r="I15" s="7">
        <v>-8.8969020000000008</v>
      </c>
      <c r="J15" s="6">
        <v>255277.77</v>
      </c>
      <c r="K15" s="7">
        <v>19.471423999999999</v>
      </c>
    </row>
    <row r="16" spans="1:11" ht="18" customHeight="1">
      <c r="A16" s="8" t="s">
        <v>219</v>
      </c>
      <c r="B16" s="6">
        <v>135496.28</v>
      </c>
      <c r="C16" s="7">
        <v>-5.7183359999999999</v>
      </c>
      <c r="D16" s="6">
        <v>134255.72</v>
      </c>
      <c r="E16" s="7">
        <v>-0.91556800000000005</v>
      </c>
      <c r="F16" s="6">
        <v>134741.79999999999</v>
      </c>
      <c r="G16" s="7">
        <v>0.36205500000000002</v>
      </c>
      <c r="H16" s="6">
        <v>131259.03</v>
      </c>
      <c r="I16" s="7">
        <v>-2.5847730000000002</v>
      </c>
      <c r="J16" s="6">
        <v>132107.44</v>
      </c>
      <c r="K16" s="7">
        <v>0.64636300000000002</v>
      </c>
    </row>
    <row r="17" spans="1:11" ht="18" customHeight="1">
      <c r="A17" s="8" t="s">
        <v>226</v>
      </c>
      <c r="B17" s="6">
        <v>315397.51</v>
      </c>
      <c r="C17" s="7">
        <v>0.82942000000000005</v>
      </c>
      <c r="D17" s="6">
        <v>317952.5</v>
      </c>
      <c r="E17" s="7">
        <v>0.81008599999999997</v>
      </c>
      <c r="F17" s="6">
        <v>303515.51</v>
      </c>
      <c r="G17" s="7">
        <v>-4.5406120000000003</v>
      </c>
      <c r="H17" s="6">
        <v>288892.11</v>
      </c>
      <c r="I17" s="7">
        <v>-4.8180069999999997</v>
      </c>
      <c r="J17" s="6">
        <v>296212.17</v>
      </c>
      <c r="K17" s="7">
        <v>2.533839</v>
      </c>
    </row>
    <row r="18" spans="1:11" ht="18" customHeight="1">
      <c r="A18" s="8" t="s">
        <v>227</v>
      </c>
      <c r="B18" s="6">
        <v>323339.37</v>
      </c>
      <c r="C18" s="7">
        <v>-5.3617999999999997</v>
      </c>
      <c r="D18" s="6">
        <v>332732.71999999997</v>
      </c>
      <c r="E18" s="7">
        <v>2.905106</v>
      </c>
      <c r="F18" s="6">
        <v>283276.90999999997</v>
      </c>
      <c r="G18" s="7">
        <v>-14.863524999999999</v>
      </c>
      <c r="H18" s="6">
        <v>262765.52</v>
      </c>
      <c r="I18" s="7">
        <v>-7.2407560000000002</v>
      </c>
      <c r="J18" s="6">
        <v>342005.64</v>
      </c>
      <c r="K18" s="7">
        <v>30.156209</v>
      </c>
    </row>
    <row r="19" spans="1:11" ht="18" customHeight="1">
      <c r="A19" s="11" t="s">
        <v>228</v>
      </c>
      <c r="B19" s="6">
        <v>781453.26</v>
      </c>
      <c r="C19" s="7">
        <v>4.1566599999999996</v>
      </c>
      <c r="D19" s="6">
        <v>795140.05</v>
      </c>
      <c r="E19" s="7">
        <v>1.7514529999999999</v>
      </c>
      <c r="F19" s="6">
        <v>792106.17</v>
      </c>
      <c r="G19" s="7">
        <v>-0.38155299999999998</v>
      </c>
      <c r="H19" s="6">
        <v>709929.89</v>
      </c>
      <c r="I19" s="7">
        <v>-10.374402</v>
      </c>
      <c r="J19" s="6">
        <v>747299.31</v>
      </c>
      <c r="K19" s="7">
        <v>5.2638179999999997</v>
      </c>
    </row>
    <row r="20" spans="1:11" ht="18" customHeight="1">
      <c r="A20" s="8" t="s">
        <v>15</v>
      </c>
      <c r="B20" s="6">
        <v>11378830.199999999</v>
      </c>
      <c r="C20" s="7">
        <v>7.327725</v>
      </c>
      <c r="D20" s="6">
        <v>11209416.49</v>
      </c>
      <c r="E20" s="7">
        <v>-1.48885</v>
      </c>
      <c r="F20" s="6">
        <v>10833988.9</v>
      </c>
      <c r="G20" s="7">
        <v>-3.3492160000000002</v>
      </c>
      <c r="H20" s="6">
        <v>9973748.3100000005</v>
      </c>
      <c r="I20" s="7">
        <v>-7.9402020000000002</v>
      </c>
      <c r="J20" s="6">
        <v>10461138.09</v>
      </c>
      <c r="K20" s="7">
        <v>4.8867260000000003</v>
      </c>
    </row>
    <row r="21" spans="1:11" ht="18" customHeight="1">
      <c r="A21" s="8" t="s">
        <v>16</v>
      </c>
      <c r="B21" s="6">
        <v>1411152.73</v>
      </c>
      <c r="C21" s="7">
        <v>9.4203930000000007</v>
      </c>
      <c r="D21" s="6">
        <v>1449598.86</v>
      </c>
      <c r="E21" s="7">
        <v>2.7244489999999999</v>
      </c>
      <c r="F21" s="6">
        <v>1433252.85</v>
      </c>
      <c r="G21" s="7">
        <v>-1.127623</v>
      </c>
      <c r="H21" s="6">
        <v>1338700.21</v>
      </c>
      <c r="I21" s="7">
        <v>-6.5970659999999999</v>
      </c>
      <c r="J21" s="6">
        <v>1366685.63</v>
      </c>
      <c r="K21" s="7">
        <v>2.0904919999999998</v>
      </c>
    </row>
    <row r="22" spans="1:11" ht="18" customHeight="1">
      <c r="A22" s="8" t="s">
        <v>17</v>
      </c>
      <c r="B22" s="6">
        <v>5822638.25</v>
      </c>
      <c r="C22" s="7">
        <v>9.5332480000000004</v>
      </c>
      <c r="D22" s="6">
        <v>5475705.2000000002</v>
      </c>
      <c r="E22" s="7">
        <v>-5.958348</v>
      </c>
      <c r="F22" s="6">
        <v>5220164.72</v>
      </c>
      <c r="G22" s="7">
        <v>-4.6668050000000001</v>
      </c>
      <c r="H22" s="6">
        <v>4821608.78</v>
      </c>
      <c r="I22" s="7">
        <v>-7.6349299999999998</v>
      </c>
      <c r="J22" s="6">
        <v>4967400.8099999996</v>
      </c>
      <c r="K22" s="7">
        <v>3.0237219999999998</v>
      </c>
    </row>
    <row r="23" spans="1:11" ht="18" customHeight="1">
      <c r="A23" s="8" t="s">
        <v>18</v>
      </c>
      <c r="B23" s="6">
        <v>434335.43</v>
      </c>
      <c r="C23" s="7">
        <v>1.0495760000000001</v>
      </c>
      <c r="D23" s="6">
        <v>465363.49</v>
      </c>
      <c r="E23" s="7">
        <v>7.1438009999999998</v>
      </c>
      <c r="F23" s="6">
        <v>453835.25</v>
      </c>
      <c r="G23" s="7">
        <v>-2.477255</v>
      </c>
      <c r="H23" s="6">
        <v>443182.36</v>
      </c>
      <c r="I23" s="7">
        <v>-2.3473030000000001</v>
      </c>
      <c r="J23" s="6">
        <v>485822.35</v>
      </c>
      <c r="K23" s="7">
        <v>9.6213189999999997</v>
      </c>
    </row>
    <row r="24" spans="1:11" ht="18" customHeight="1">
      <c r="A24" s="8" t="s">
        <v>19</v>
      </c>
      <c r="B24" s="6">
        <v>152862.82999999999</v>
      </c>
      <c r="C24" s="7">
        <v>-3.0152030000000001</v>
      </c>
      <c r="D24" s="6">
        <v>161287.81</v>
      </c>
      <c r="E24" s="7">
        <v>5.5114640000000001</v>
      </c>
      <c r="F24" s="6">
        <v>166242.35999999999</v>
      </c>
      <c r="G24" s="7">
        <v>3.071869</v>
      </c>
      <c r="H24" s="6">
        <v>157226.84</v>
      </c>
      <c r="I24" s="7">
        <v>-5.4231179999999997</v>
      </c>
      <c r="J24" s="6">
        <v>173835.11</v>
      </c>
      <c r="K24" s="7">
        <v>10.563254000000001</v>
      </c>
    </row>
    <row r="25" spans="1:11" ht="18" customHeight="1">
      <c r="A25" s="8" t="s">
        <v>20</v>
      </c>
      <c r="B25" s="6">
        <v>729035.42</v>
      </c>
      <c r="C25" s="7">
        <v>5.9343659999999998</v>
      </c>
      <c r="D25" s="6">
        <v>761794.43</v>
      </c>
      <c r="E25" s="7">
        <v>4.4934729999999998</v>
      </c>
      <c r="F25" s="6">
        <v>780544.97</v>
      </c>
      <c r="G25" s="7">
        <v>2.4613649999999998</v>
      </c>
      <c r="H25" s="6">
        <v>773737.03</v>
      </c>
      <c r="I25" s="7">
        <v>-0.87220299999999995</v>
      </c>
      <c r="J25" s="6">
        <v>799812.88</v>
      </c>
      <c r="K25" s="7">
        <v>3.3701180000000002</v>
      </c>
    </row>
    <row r="26" spans="1:11" ht="18" customHeight="1">
      <c r="A26" s="8" t="s">
        <v>21</v>
      </c>
      <c r="B26" s="6">
        <v>660415.4</v>
      </c>
      <c r="C26" s="7">
        <v>1.1384270000000001</v>
      </c>
      <c r="D26" s="6">
        <v>718624.99</v>
      </c>
      <c r="E26" s="7">
        <v>8.8140870000000007</v>
      </c>
      <c r="F26" s="6">
        <v>670851.21</v>
      </c>
      <c r="G26" s="7">
        <v>-6.6479429999999997</v>
      </c>
      <c r="H26" s="6">
        <v>573544.9</v>
      </c>
      <c r="I26" s="7">
        <v>-14.504902</v>
      </c>
      <c r="J26" s="6">
        <v>660023.4</v>
      </c>
      <c r="K26" s="7">
        <v>15.077895</v>
      </c>
    </row>
    <row r="27" spans="1:11" ht="18" customHeight="1">
      <c r="A27" s="8" t="s">
        <v>22</v>
      </c>
      <c r="B27" s="6">
        <v>258940.07</v>
      </c>
      <c r="C27" s="7">
        <v>10.02144</v>
      </c>
      <c r="D27" s="6">
        <v>275853.19</v>
      </c>
      <c r="E27" s="7">
        <v>6.5316739999999998</v>
      </c>
      <c r="F27" s="6">
        <v>281037.71000000002</v>
      </c>
      <c r="G27" s="7">
        <v>1.8794489999999999</v>
      </c>
      <c r="H27" s="6">
        <v>277934.55</v>
      </c>
      <c r="I27" s="7">
        <v>-1.104179</v>
      </c>
      <c r="J27" s="6">
        <v>285172.38</v>
      </c>
      <c r="K27" s="7">
        <v>2.604149</v>
      </c>
    </row>
    <row r="28" spans="1:11" ht="18" customHeight="1">
      <c r="A28" s="8" t="s">
        <v>23</v>
      </c>
      <c r="B28" s="6">
        <v>1777279.68</v>
      </c>
      <c r="C28" s="7">
        <v>3.0329660000000001</v>
      </c>
      <c r="D28" s="6">
        <v>1759901.5</v>
      </c>
      <c r="E28" s="7">
        <v>-0.97779700000000003</v>
      </c>
      <c r="F28" s="6">
        <v>1693962.28</v>
      </c>
      <c r="G28" s="7">
        <v>-3.746756</v>
      </c>
      <c r="H28" s="6">
        <v>1470864.85</v>
      </c>
      <c r="I28" s="7">
        <v>-13.170153000000001</v>
      </c>
      <c r="J28" s="6">
        <v>1591298.65</v>
      </c>
      <c r="K28" s="7">
        <v>8.1879580000000001</v>
      </c>
    </row>
    <row r="29" spans="1:11" ht="12" customHeight="1" thickBot="1">
      <c r="A29" s="8"/>
      <c r="B29" s="6"/>
      <c r="C29" s="7"/>
      <c r="D29" s="6"/>
      <c r="E29" s="7"/>
      <c r="F29" s="6"/>
      <c r="G29" s="7"/>
      <c r="H29" s="6"/>
      <c r="I29" s="7"/>
      <c r="J29" s="6"/>
      <c r="K29" s="7"/>
    </row>
    <row r="30" spans="1:11" ht="18" customHeight="1">
      <c r="A30" s="5" t="s">
        <v>24</v>
      </c>
      <c r="B30" s="154"/>
      <c r="C30" s="154"/>
      <c r="D30" s="154"/>
      <c r="E30" s="154"/>
      <c r="F30" s="154"/>
      <c r="G30" s="154"/>
      <c r="H30" s="154"/>
      <c r="I30" s="154"/>
      <c r="J30" s="154"/>
      <c r="K30" s="154"/>
    </row>
    <row r="31" spans="1:11" ht="18" customHeight="1">
      <c r="A31" s="8" t="s">
        <v>25</v>
      </c>
      <c r="B31" s="6">
        <v>5686673.1500000004</v>
      </c>
      <c r="C31" s="7">
        <v>5.8570580000000003</v>
      </c>
      <c r="D31" s="6">
        <v>5898233.5599999996</v>
      </c>
      <c r="E31" s="7">
        <v>3.7202839999999999</v>
      </c>
      <c r="F31" s="6">
        <v>5642192.54</v>
      </c>
      <c r="G31" s="7">
        <v>-4.3409779999999998</v>
      </c>
      <c r="H31" s="6">
        <v>5122621.25</v>
      </c>
      <c r="I31" s="7">
        <v>-9.2086769999999998</v>
      </c>
      <c r="J31" s="6">
        <v>5436146.8700000001</v>
      </c>
      <c r="K31" s="7">
        <v>6.1204140000000002</v>
      </c>
    </row>
    <row r="32" spans="1:11" ht="18" customHeight="1">
      <c r="A32" s="8" t="s">
        <v>26</v>
      </c>
      <c r="B32" s="6">
        <v>2870924.24</v>
      </c>
      <c r="C32" s="7">
        <v>6.740653</v>
      </c>
      <c r="D32" s="6">
        <v>2980151.27</v>
      </c>
      <c r="E32" s="7">
        <v>3.8045949999999999</v>
      </c>
      <c r="F32" s="6">
        <v>2904237.69</v>
      </c>
      <c r="G32" s="7">
        <v>-2.5473059999999998</v>
      </c>
      <c r="H32" s="6">
        <v>2649853.08</v>
      </c>
      <c r="I32" s="7">
        <v>-8.7590839999999996</v>
      </c>
      <c r="J32" s="6">
        <v>2825763.44</v>
      </c>
      <c r="K32" s="7">
        <v>6.6384949999999998</v>
      </c>
    </row>
    <row r="33" spans="1:12" ht="18" customHeight="1">
      <c r="A33" s="8" t="s">
        <v>27</v>
      </c>
      <c r="B33" s="6">
        <v>5492908.7300000004</v>
      </c>
      <c r="C33" s="7">
        <v>4.0249730000000001</v>
      </c>
      <c r="D33" s="6">
        <v>5136878.92</v>
      </c>
      <c r="E33" s="7">
        <v>-6.4816260000000003</v>
      </c>
      <c r="F33" s="6">
        <v>4992236.62</v>
      </c>
      <c r="G33" s="7">
        <v>-2.8157619999999999</v>
      </c>
      <c r="H33" s="6">
        <v>4639992.21</v>
      </c>
      <c r="I33" s="7">
        <v>-7.0558439999999996</v>
      </c>
      <c r="J33" s="6">
        <v>4959869.2699999996</v>
      </c>
      <c r="K33" s="7">
        <v>6.8939139999999997</v>
      </c>
    </row>
    <row r="34" spans="1:12" ht="18" customHeight="1" thickBot="1">
      <c r="A34" s="14" t="s">
        <v>28</v>
      </c>
      <c r="B34" s="15">
        <v>1390921.96</v>
      </c>
      <c r="C34" s="16">
        <v>14.429085000000001</v>
      </c>
      <c r="D34" s="15">
        <v>1336850.49</v>
      </c>
      <c r="E34" s="16">
        <v>-3.8874550000000001</v>
      </c>
      <c r="F34" s="15">
        <v>1280319.02</v>
      </c>
      <c r="G34" s="16">
        <v>-4.2287049999999997</v>
      </c>
      <c r="H34" s="15">
        <v>1212229.55</v>
      </c>
      <c r="I34" s="16">
        <v>-5.3181640000000003</v>
      </c>
      <c r="J34" s="15">
        <v>1257098.3</v>
      </c>
      <c r="K34" s="16">
        <v>3.7013410000000002</v>
      </c>
    </row>
    <row r="36" spans="1:12" ht="11.9" customHeight="1">
      <c r="A36" s="17" t="s">
        <v>313</v>
      </c>
      <c r="D36" s="18"/>
      <c r="F36" s="18"/>
      <c r="H36" s="18"/>
      <c r="J36" s="18"/>
    </row>
    <row r="37" spans="1:12" ht="11.9" customHeight="1">
      <c r="A37" s="19"/>
      <c r="B37" s="18"/>
      <c r="D37" s="18"/>
      <c r="F37" s="18"/>
      <c r="H37" s="18"/>
      <c r="J37" s="18"/>
    </row>
    <row r="38" spans="1:12" ht="11.9" customHeight="1">
      <c r="A38" s="20"/>
      <c r="B38" s="18"/>
      <c r="D38" s="18"/>
      <c r="F38" s="18"/>
      <c r="H38" s="18"/>
      <c r="J38" s="18"/>
    </row>
    <row r="39" spans="1:12" ht="11.9" customHeight="1">
      <c r="A39" s="19"/>
      <c r="B39" s="18"/>
      <c r="D39" s="18"/>
      <c r="F39" s="18"/>
      <c r="H39" s="18"/>
      <c r="J39" s="18"/>
    </row>
    <row r="40" spans="1:12" ht="11.9" customHeight="1">
      <c r="A40" s="215"/>
      <c r="B40" s="215"/>
      <c r="C40" s="215"/>
      <c r="D40" s="215"/>
      <c r="E40" s="215"/>
      <c r="F40" s="215"/>
      <c r="G40" s="215"/>
      <c r="H40" s="215"/>
      <c r="I40" s="215"/>
      <c r="J40" s="215"/>
      <c r="K40" s="215"/>
      <c r="L40" s="215"/>
    </row>
    <row r="41" spans="1:12" ht="11.9" customHeight="1">
      <c r="A41" s="215"/>
      <c r="B41" s="215"/>
      <c r="C41" s="215"/>
      <c r="D41" s="215"/>
      <c r="E41" s="215"/>
      <c r="F41" s="215"/>
      <c r="G41" s="215"/>
      <c r="H41" s="215"/>
      <c r="I41" s="215"/>
      <c r="J41" s="215"/>
      <c r="K41" s="215"/>
      <c r="L41" s="215"/>
    </row>
    <row r="42" spans="1:12" ht="11.9" customHeight="1">
      <c r="A42" s="215"/>
      <c r="B42" s="215"/>
      <c r="C42" s="215"/>
      <c r="D42" s="215"/>
      <c r="E42" s="215"/>
      <c r="F42" s="215"/>
      <c r="G42" s="215"/>
      <c r="H42" s="215"/>
      <c r="I42" s="215"/>
      <c r="J42" s="215"/>
      <c r="K42" s="215"/>
      <c r="L42" s="215"/>
    </row>
    <row r="43" spans="1:12">
      <c r="A43" s="215"/>
      <c r="B43" s="215"/>
      <c r="C43" s="215"/>
      <c r="D43" s="215"/>
      <c r="E43" s="215"/>
      <c r="F43" s="215"/>
      <c r="G43" s="215"/>
      <c r="H43" s="215"/>
      <c r="I43" s="215"/>
      <c r="J43" s="215"/>
      <c r="K43" s="215"/>
      <c r="L43" s="215"/>
    </row>
    <row r="44" spans="1:12">
      <c r="A44" s="215"/>
      <c r="B44" s="215"/>
      <c r="C44" s="215"/>
      <c r="D44" s="215"/>
      <c r="E44" s="215"/>
      <c r="F44" s="215"/>
      <c r="G44" s="215"/>
      <c r="H44" s="215"/>
      <c r="I44" s="215"/>
      <c r="J44" s="215"/>
      <c r="K44" s="215"/>
      <c r="L44" s="215"/>
    </row>
    <row r="45" spans="1:12">
      <c r="A45" s="216"/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</row>
    <row r="46" spans="1:12">
      <c r="A46" s="216"/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</row>
  </sheetData>
  <mergeCells count="7">
    <mergeCell ref="A40:L46"/>
    <mergeCell ref="A5:A6"/>
    <mergeCell ref="H5:H6"/>
    <mergeCell ref="J5:J6"/>
    <mergeCell ref="B5:B6"/>
    <mergeCell ref="D5:D6"/>
    <mergeCell ref="F5:F6"/>
  </mergeCells>
  <phoneticPr fontId="2"/>
  <printOptions horizontalCentered="1"/>
  <pageMargins left="0.19685039370078741" right="0.19685039370078741" top="0.98425196850393704" bottom="0.47244094488188981" header="0.51181102362204722" footer="0.19685039370078741"/>
  <pageSetup paperSize="9" scale="62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118A-2337-4AB2-93E7-282501BEC792}">
  <sheetPr>
    <tabColor rgb="FFFFC000"/>
    <pageSetUpPr fitToPage="1"/>
  </sheetPr>
  <dimension ref="A2:K44"/>
  <sheetViews>
    <sheetView view="pageBreakPreview" zoomScale="83" zoomScaleNormal="100" zoomScaleSheetLayoutView="83" workbookViewId="0"/>
  </sheetViews>
  <sheetFormatPr defaultColWidth="9" defaultRowHeight="11"/>
  <cols>
    <col min="1" max="1" width="51.7265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2" spans="1:11" ht="19">
      <c r="D2" s="1" t="s">
        <v>29</v>
      </c>
    </row>
    <row r="3" spans="1:11" ht="11.5" thickBot="1">
      <c r="K3" s="3" t="s">
        <v>3</v>
      </c>
    </row>
    <row r="4" spans="1:11" ht="12" customHeight="1" thickBot="1">
      <c r="A4" s="217" t="s">
        <v>30</v>
      </c>
      <c r="B4" s="217">
        <v>2017</v>
      </c>
      <c r="C4" s="159"/>
      <c r="D4" s="217">
        <v>2018</v>
      </c>
      <c r="E4" s="159"/>
      <c r="F4" s="217">
        <v>2019</v>
      </c>
      <c r="G4" s="159"/>
      <c r="H4" s="217">
        <v>2020</v>
      </c>
      <c r="I4" s="159"/>
      <c r="J4" s="217">
        <v>2021</v>
      </c>
      <c r="K4" s="159"/>
    </row>
    <row r="5" spans="1:11" ht="25" customHeight="1" thickBot="1">
      <c r="A5" s="218"/>
      <c r="B5" s="220"/>
      <c r="C5" s="4" t="s">
        <v>7</v>
      </c>
      <c r="D5" s="220"/>
      <c r="E5" s="4" t="s">
        <v>7</v>
      </c>
      <c r="F5" s="219"/>
      <c r="G5" s="4" t="s">
        <v>7</v>
      </c>
      <c r="H5" s="219"/>
      <c r="I5" s="4" t="s">
        <v>7</v>
      </c>
      <c r="J5" s="219"/>
      <c r="K5" s="4" t="s">
        <v>7</v>
      </c>
    </row>
    <row r="6" spans="1:11" ht="24" customHeight="1">
      <c r="A6" s="5" t="s">
        <v>255</v>
      </c>
      <c r="B6" s="6">
        <v>835542.95</v>
      </c>
      <c r="C6" s="7">
        <v>11.424716</v>
      </c>
      <c r="D6" s="6">
        <v>839176.65</v>
      </c>
      <c r="E6" s="7">
        <v>0.43489100000000003</v>
      </c>
      <c r="F6" s="6">
        <v>714385.02</v>
      </c>
      <c r="G6" s="7">
        <v>-14.870722000000001</v>
      </c>
      <c r="H6" s="6">
        <v>628537.78</v>
      </c>
      <c r="I6" s="7">
        <v>-12.016942999999999</v>
      </c>
      <c r="J6" s="6">
        <v>839246.53</v>
      </c>
      <c r="K6" s="7">
        <v>33.523640999999998</v>
      </c>
    </row>
    <row r="7" spans="1:11" ht="24" customHeight="1">
      <c r="A7" s="8" t="s">
        <v>256</v>
      </c>
      <c r="B7" s="6">
        <v>283175.73</v>
      </c>
      <c r="C7" s="7">
        <v>17.726289000000001</v>
      </c>
      <c r="D7" s="6">
        <v>273467.8</v>
      </c>
      <c r="E7" s="7">
        <v>-3.4282349999999999</v>
      </c>
      <c r="F7" s="6">
        <v>226904.91</v>
      </c>
      <c r="G7" s="7">
        <v>-17.026827000000001</v>
      </c>
      <c r="H7" s="6">
        <v>218304.03</v>
      </c>
      <c r="I7" s="7">
        <v>-3.7905220000000002</v>
      </c>
      <c r="J7" s="6">
        <v>331939.82</v>
      </c>
      <c r="K7" s="7">
        <v>52.053913000000001</v>
      </c>
    </row>
    <row r="8" spans="1:11" ht="24" customHeight="1">
      <c r="A8" s="8" t="s">
        <v>33</v>
      </c>
      <c r="B8" s="6">
        <v>19668.43</v>
      </c>
      <c r="C8" s="7">
        <v>-2.7185100000000002</v>
      </c>
      <c r="D8" s="6">
        <v>19673.89</v>
      </c>
      <c r="E8" s="7">
        <v>2.776E-2</v>
      </c>
      <c r="F8" s="6">
        <v>17632.62</v>
      </c>
      <c r="G8" s="7">
        <v>-10.375527999999999</v>
      </c>
      <c r="H8" s="6">
        <v>15095.57</v>
      </c>
      <c r="I8" s="7">
        <v>-14.388389</v>
      </c>
      <c r="J8" s="6">
        <v>19259.04</v>
      </c>
      <c r="K8" s="7">
        <v>27.580741</v>
      </c>
    </row>
    <row r="9" spans="1:11" ht="24" customHeight="1">
      <c r="A9" s="8" t="s">
        <v>34</v>
      </c>
      <c r="B9" s="6">
        <v>47227.32</v>
      </c>
      <c r="C9" s="7">
        <v>16.535767</v>
      </c>
      <c r="D9" s="6">
        <v>45373.02</v>
      </c>
      <c r="E9" s="7">
        <v>-3.926329</v>
      </c>
      <c r="F9" s="6">
        <v>45342.39</v>
      </c>
      <c r="G9" s="7">
        <v>-6.7506999999999998E-2</v>
      </c>
      <c r="H9" s="6">
        <v>41124.910000000003</v>
      </c>
      <c r="I9" s="7">
        <v>-9.3014060000000001</v>
      </c>
      <c r="J9" s="6">
        <v>56358.87</v>
      </c>
      <c r="K9" s="7">
        <v>37.043145000000003</v>
      </c>
    </row>
    <row r="10" spans="1:11" s="10" customFormat="1" ht="24" customHeight="1">
      <c r="A10" s="9" t="s">
        <v>35</v>
      </c>
      <c r="B10" s="6">
        <v>3793.14</v>
      </c>
      <c r="C10" s="7">
        <v>0.386658</v>
      </c>
      <c r="D10" s="6">
        <v>2315.06</v>
      </c>
      <c r="E10" s="7">
        <v>-38.967188</v>
      </c>
      <c r="F10" s="6">
        <v>-342.49</v>
      </c>
      <c r="G10" s="7">
        <v>-114.79400099999999</v>
      </c>
      <c r="H10" s="6">
        <v>3039.4</v>
      </c>
      <c r="I10" s="7" t="s">
        <v>36</v>
      </c>
      <c r="J10" s="6">
        <v>7013.41</v>
      </c>
      <c r="K10" s="7">
        <v>130.749819</v>
      </c>
    </row>
    <row r="11" spans="1:11" s="10" customFormat="1" ht="24" customHeight="1">
      <c r="A11" s="9" t="s">
        <v>37</v>
      </c>
      <c r="B11" s="6">
        <v>7416.79</v>
      </c>
      <c r="C11" s="7">
        <v>84.488084999999998</v>
      </c>
      <c r="D11" s="6">
        <v>6617.51</v>
      </c>
      <c r="E11" s="7">
        <v>-10.776630000000001</v>
      </c>
      <c r="F11" s="6">
        <v>2458.62</v>
      </c>
      <c r="G11" s="7">
        <v>-62.846750999999998</v>
      </c>
      <c r="H11" s="6">
        <v>830.66</v>
      </c>
      <c r="I11" s="7">
        <v>-66.214380000000006</v>
      </c>
      <c r="J11" s="6">
        <v>12502.21</v>
      </c>
      <c r="K11" s="7">
        <v>1405.0935400000001</v>
      </c>
    </row>
    <row r="12" spans="1:11" ht="24" customHeight="1">
      <c r="A12" s="8" t="s">
        <v>38</v>
      </c>
      <c r="B12" s="6">
        <v>10599.24</v>
      </c>
      <c r="C12" s="7">
        <v>18.587720000000001</v>
      </c>
      <c r="D12" s="6">
        <v>10397.06</v>
      </c>
      <c r="E12" s="7">
        <v>-1.9074949999999999</v>
      </c>
      <c r="F12" s="6">
        <v>9364.2999999999993</v>
      </c>
      <c r="G12" s="7">
        <v>-9.9331929999999993</v>
      </c>
      <c r="H12" s="6">
        <v>7434.34</v>
      </c>
      <c r="I12" s="7">
        <v>-20.609763000000001</v>
      </c>
      <c r="J12" s="6">
        <v>11670.12</v>
      </c>
      <c r="K12" s="7">
        <v>56.975870999999998</v>
      </c>
    </row>
    <row r="13" spans="1:11" ht="24" customHeight="1">
      <c r="A13" s="8" t="s">
        <v>220</v>
      </c>
      <c r="B13" s="6">
        <v>6085.4</v>
      </c>
      <c r="C13" s="7">
        <v>18.893552</v>
      </c>
      <c r="D13" s="6">
        <v>5971.16</v>
      </c>
      <c r="E13" s="7">
        <v>-1.8772800000000001</v>
      </c>
      <c r="F13" s="6">
        <v>4461.92</v>
      </c>
      <c r="G13" s="7">
        <v>-25.275490999999999</v>
      </c>
      <c r="H13" s="6">
        <v>4514.84</v>
      </c>
      <c r="I13" s="7">
        <v>1.186037</v>
      </c>
      <c r="J13" s="6">
        <v>6407.58</v>
      </c>
      <c r="K13" s="7">
        <v>41.922637000000002</v>
      </c>
    </row>
    <row r="14" spans="1:11" ht="24" customHeight="1">
      <c r="A14" s="8" t="s">
        <v>221</v>
      </c>
      <c r="B14" s="6">
        <v>19121.21</v>
      </c>
      <c r="C14" s="7">
        <v>33.770415</v>
      </c>
      <c r="D14" s="6">
        <v>26326.15</v>
      </c>
      <c r="E14" s="7">
        <v>37.680356000000003</v>
      </c>
      <c r="F14" s="6">
        <v>19728.8</v>
      </c>
      <c r="G14" s="7">
        <v>-25.060064000000001</v>
      </c>
      <c r="H14" s="6">
        <v>16693.580000000002</v>
      </c>
      <c r="I14" s="7">
        <v>-15.384717</v>
      </c>
      <c r="J14" s="6">
        <v>23905.54</v>
      </c>
      <c r="K14" s="7">
        <v>43.201996999999999</v>
      </c>
    </row>
    <row r="15" spans="1:11" ht="24" customHeight="1">
      <c r="A15" s="8" t="s">
        <v>222</v>
      </c>
      <c r="B15" s="6">
        <v>15604.09</v>
      </c>
      <c r="C15" s="7">
        <v>44.054685999999997</v>
      </c>
      <c r="D15" s="6">
        <v>9878.06</v>
      </c>
      <c r="E15" s="7">
        <v>-36.695700000000002</v>
      </c>
      <c r="F15" s="6">
        <v>10339.82</v>
      </c>
      <c r="G15" s="7">
        <v>4.6746020000000001</v>
      </c>
      <c r="H15" s="6">
        <v>10929.4</v>
      </c>
      <c r="I15" s="7">
        <v>5.7020330000000001</v>
      </c>
      <c r="J15" s="6">
        <v>15598.79</v>
      </c>
      <c r="K15" s="7">
        <v>42.723205</v>
      </c>
    </row>
    <row r="16" spans="1:11" ht="24" customHeight="1">
      <c r="A16" s="8" t="s">
        <v>223</v>
      </c>
      <c r="B16" s="6">
        <v>26161.97</v>
      </c>
      <c r="C16" s="7">
        <v>32.566555999999999</v>
      </c>
      <c r="D16" s="6">
        <v>24856.67</v>
      </c>
      <c r="E16" s="7">
        <v>-4.9893029999999996</v>
      </c>
      <c r="F16" s="6">
        <v>21848.46</v>
      </c>
      <c r="G16" s="7">
        <v>-12.102224</v>
      </c>
      <c r="H16" s="6">
        <v>21802.41</v>
      </c>
      <c r="I16" s="7">
        <v>-0.21077000000000001</v>
      </c>
      <c r="J16" s="6">
        <v>30965.439999999999</v>
      </c>
      <c r="K16" s="7">
        <v>42.027602000000002</v>
      </c>
    </row>
    <row r="17" spans="1:11" ht="24" customHeight="1">
      <c r="A17" s="8" t="s">
        <v>224</v>
      </c>
      <c r="B17" s="6">
        <v>20001.03</v>
      </c>
      <c r="C17" s="7">
        <v>15.074236000000001</v>
      </c>
      <c r="D17" s="6">
        <v>19288.03</v>
      </c>
      <c r="E17" s="7">
        <v>-3.564816</v>
      </c>
      <c r="F17" s="6">
        <v>13472.46</v>
      </c>
      <c r="G17" s="7">
        <v>-30.151187</v>
      </c>
      <c r="H17" s="6">
        <v>15770.06</v>
      </c>
      <c r="I17" s="7">
        <v>17.05405</v>
      </c>
      <c r="J17" s="6">
        <v>35053.86</v>
      </c>
      <c r="K17" s="7">
        <v>122.281082</v>
      </c>
    </row>
    <row r="18" spans="1:11" ht="24" customHeight="1">
      <c r="A18" s="11" t="s">
        <v>225</v>
      </c>
      <c r="B18" s="6">
        <v>62062.47</v>
      </c>
      <c r="C18" s="7">
        <v>10.903254</v>
      </c>
      <c r="D18" s="6">
        <v>59974.8</v>
      </c>
      <c r="E18" s="7">
        <v>-3.36382</v>
      </c>
      <c r="F18" s="6">
        <v>40798.39</v>
      </c>
      <c r="G18" s="7">
        <v>-31.974112000000002</v>
      </c>
      <c r="H18" s="6">
        <v>39653.019999999997</v>
      </c>
      <c r="I18" s="7">
        <v>-2.8073899999999998</v>
      </c>
      <c r="J18" s="6">
        <v>53776.6</v>
      </c>
      <c r="K18" s="7">
        <v>35.617918000000003</v>
      </c>
    </row>
    <row r="19" spans="1:11" ht="24" customHeight="1">
      <c r="A19" s="8" t="s">
        <v>39</v>
      </c>
      <c r="B19" s="6">
        <v>552367.22</v>
      </c>
      <c r="C19" s="7">
        <v>8.4487489999999994</v>
      </c>
      <c r="D19" s="6">
        <v>565708.85</v>
      </c>
      <c r="E19" s="7">
        <v>2.4153549999999999</v>
      </c>
      <c r="F19" s="6">
        <v>487480.11</v>
      </c>
      <c r="G19" s="7">
        <v>-13.828445</v>
      </c>
      <c r="H19" s="6">
        <v>410233.75</v>
      </c>
      <c r="I19" s="7">
        <v>-15.846054000000001</v>
      </c>
      <c r="J19" s="6">
        <v>507306.71</v>
      </c>
      <c r="K19" s="7">
        <v>23.662841</v>
      </c>
    </row>
    <row r="20" spans="1:11" ht="24" customHeight="1">
      <c r="A20" s="8" t="s">
        <v>40</v>
      </c>
      <c r="B20" s="6">
        <v>66507.3</v>
      </c>
      <c r="C20" s="7">
        <v>4.1168610000000001</v>
      </c>
      <c r="D20" s="6">
        <v>71978.13</v>
      </c>
      <c r="E20" s="7">
        <v>8.2259089999999997</v>
      </c>
      <c r="F20" s="6">
        <v>69334.320000000007</v>
      </c>
      <c r="G20" s="7">
        <v>-3.6730740000000002</v>
      </c>
      <c r="H20" s="6">
        <v>70129.36</v>
      </c>
      <c r="I20" s="7">
        <v>1.146676</v>
      </c>
      <c r="J20" s="6">
        <v>69361.03</v>
      </c>
      <c r="K20" s="7">
        <v>-1.0955900000000001</v>
      </c>
    </row>
    <row r="21" spans="1:11" ht="24" customHeight="1">
      <c r="A21" s="8" t="s">
        <v>41</v>
      </c>
      <c r="B21" s="6">
        <v>140461.4</v>
      </c>
      <c r="C21" s="7">
        <v>26.017862999999998</v>
      </c>
      <c r="D21" s="6">
        <v>131248.97</v>
      </c>
      <c r="E21" s="7">
        <v>-6.5586919999999997</v>
      </c>
      <c r="F21" s="6">
        <v>116818.69</v>
      </c>
      <c r="G21" s="7">
        <v>-10.994585000000001</v>
      </c>
      <c r="H21" s="6">
        <v>110659.57</v>
      </c>
      <c r="I21" s="7">
        <v>-5.2723760000000004</v>
      </c>
      <c r="J21" s="6">
        <v>148647.82</v>
      </c>
      <c r="K21" s="7">
        <v>34.328932999999999</v>
      </c>
    </row>
    <row r="22" spans="1:11" ht="24" customHeight="1">
      <c r="A22" s="8" t="s">
        <v>42</v>
      </c>
      <c r="B22" s="6">
        <v>60699.96</v>
      </c>
      <c r="C22" s="7">
        <v>13.844344</v>
      </c>
      <c r="D22" s="6">
        <v>51607.18</v>
      </c>
      <c r="E22" s="7">
        <v>-14.979877999999999</v>
      </c>
      <c r="F22" s="6">
        <v>46116.98</v>
      </c>
      <c r="G22" s="7">
        <v>-10.638442</v>
      </c>
      <c r="H22" s="6">
        <v>53541.68</v>
      </c>
      <c r="I22" s="7">
        <v>16.099710000000002</v>
      </c>
      <c r="J22" s="6">
        <v>60579.66</v>
      </c>
      <c r="K22" s="7">
        <v>13.144862</v>
      </c>
    </row>
    <row r="23" spans="1:11" ht="24" customHeight="1">
      <c r="A23" s="8" t="s">
        <v>43</v>
      </c>
      <c r="B23" s="6">
        <v>8945</v>
      </c>
      <c r="C23" s="7">
        <v>-9.614967</v>
      </c>
      <c r="D23" s="6">
        <v>9353.2800000000007</v>
      </c>
      <c r="E23" s="7">
        <v>4.5643380000000002</v>
      </c>
      <c r="F23" s="6">
        <v>6783.23</v>
      </c>
      <c r="G23" s="7">
        <v>-27.477526999999998</v>
      </c>
      <c r="H23" s="6">
        <v>5431.41</v>
      </c>
      <c r="I23" s="7">
        <v>-19.928854000000001</v>
      </c>
      <c r="J23" s="6">
        <v>4536.4799999999996</v>
      </c>
      <c r="K23" s="7">
        <v>-16.476937</v>
      </c>
    </row>
    <row r="24" spans="1:11" ht="24" customHeight="1">
      <c r="A24" s="8" t="s">
        <v>44</v>
      </c>
      <c r="B24" s="6">
        <v>77001.8</v>
      </c>
      <c r="C24" s="7">
        <v>12.050013</v>
      </c>
      <c r="D24" s="6">
        <v>75158.33</v>
      </c>
      <c r="E24" s="7">
        <v>-2.3940610000000002</v>
      </c>
      <c r="F24" s="6">
        <v>72862.7</v>
      </c>
      <c r="G24" s="7">
        <v>-3.054392</v>
      </c>
      <c r="H24" s="6">
        <v>72982.399999999994</v>
      </c>
      <c r="I24" s="7">
        <v>0.16428200000000001</v>
      </c>
      <c r="J24" s="6">
        <v>81628.78</v>
      </c>
      <c r="K24" s="7">
        <v>11.847212000000001</v>
      </c>
    </row>
    <row r="25" spans="1:11" ht="24" customHeight="1">
      <c r="A25" s="8" t="s">
        <v>45</v>
      </c>
      <c r="B25" s="6">
        <v>36657.300000000003</v>
      </c>
      <c r="C25" s="7">
        <v>4.9187209999999997</v>
      </c>
      <c r="D25" s="6">
        <v>38493.910000000003</v>
      </c>
      <c r="E25" s="7">
        <v>5.0102159999999998</v>
      </c>
      <c r="F25" s="6">
        <v>33875.14</v>
      </c>
      <c r="G25" s="7">
        <v>-11.998703000000001</v>
      </c>
      <c r="H25" s="6">
        <v>-8396.43</v>
      </c>
      <c r="I25" s="7">
        <v>-124.786407</v>
      </c>
      <c r="J25" s="6">
        <v>12288.26</v>
      </c>
      <c r="K25" s="7" t="s">
        <v>36</v>
      </c>
    </row>
    <row r="26" spans="1:11" ht="24" customHeight="1">
      <c r="A26" s="8" t="s">
        <v>46</v>
      </c>
      <c r="B26" s="6">
        <v>10471.91</v>
      </c>
      <c r="C26" s="7">
        <v>20.569671</v>
      </c>
      <c r="D26" s="6">
        <v>10074.64</v>
      </c>
      <c r="E26" s="7">
        <v>-3.7936730000000001</v>
      </c>
      <c r="F26" s="6">
        <v>11191.6</v>
      </c>
      <c r="G26" s="7">
        <v>11.086848</v>
      </c>
      <c r="H26" s="6">
        <v>10023.76</v>
      </c>
      <c r="I26" s="7">
        <v>-10.434969000000001</v>
      </c>
      <c r="J26" s="6">
        <v>3103.38</v>
      </c>
      <c r="K26" s="7">
        <v>-69.039761999999996</v>
      </c>
    </row>
    <row r="27" spans="1:11" ht="24" customHeight="1">
      <c r="A27" s="8" t="s">
        <v>47</v>
      </c>
      <c r="B27" s="6">
        <v>140212.71</v>
      </c>
      <c r="C27" s="7">
        <v>-6.0451829999999998</v>
      </c>
      <c r="D27" s="6">
        <v>166393.62</v>
      </c>
      <c r="E27" s="7">
        <v>18.672280000000001</v>
      </c>
      <c r="F27" s="6">
        <v>120020.67</v>
      </c>
      <c r="G27" s="7">
        <v>-27.869427999999999</v>
      </c>
      <c r="H27" s="6">
        <v>89642.97</v>
      </c>
      <c r="I27" s="7">
        <v>-25.310390000000002</v>
      </c>
      <c r="J27" s="6">
        <v>117213.84</v>
      </c>
      <c r="K27" s="7">
        <v>30.756309999999999</v>
      </c>
    </row>
    <row r="28" spans="1:11" ht="12" customHeight="1" thickBot="1">
      <c r="A28" s="8"/>
      <c r="B28" s="6"/>
      <c r="C28" s="7"/>
      <c r="D28" s="6"/>
      <c r="E28" s="7"/>
      <c r="F28" s="6"/>
      <c r="G28" s="7"/>
      <c r="H28" s="6"/>
      <c r="I28" s="7"/>
      <c r="J28" s="6"/>
      <c r="K28" s="7"/>
    </row>
    <row r="29" spans="1:11" ht="24" customHeight="1">
      <c r="A29" s="5" t="s">
        <v>258</v>
      </c>
      <c r="B29" s="12"/>
      <c r="C29" s="13"/>
      <c r="D29" s="12"/>
      <c r="E29" s="13"/>
      <c r="F29" s="12"/>
      <c r="G29" s="13"/>
      <c r="H29" s="12"/>
      <c r="I29" s="13"/>
      <c r="J29" s="12"/>
      <c r="K29" s="13"/>
    </row>
    <row r="30" spans="1:11" ht="24" customHeight="1">
      <c r="A30" s="8" t="s">
        <v>260</v>
      </c>
      <c r="B30" s="6">
        <v>462998.09</v>
      </c>
      <c r="C30" s="7">
        <v>9.1140159999999995</v>
      </c>
      <c r="D30" s="6">
        <v>482378.46</v>
      </c>
      <c r="E30" s="7">
        <v>4.1858420000000001</v>
      </c>
      <c r="F30" s="6">
        <v>416995.2</v>
      </c>
      <c r="G30" s="7">
        <v>-13.554349</v>
      </c>
      <c r="H30" s="6">
        <v>370705.37</v>
      </c>
      <c r="I30" s="7">
        <v>-11.100806</v>
      </c>
      <c r="J30" s="6">
        <v>495341.49</v>
      </c>
      <c r="K30" s="7">
        <v>33.621341999999999</v>
      </c>
    </row>
    <row r="31" spans="1:11" ht="24" customHeight="1">
      <c r="A31" s="8" t="s">
        <v>26</v>
      </c>
      <c r="B31" s="6">
        <v>130044.75</v>
      </c>
      <c r="C31" s="7">
        <v>16.347653000000001</v>
      </c>
      <c r="D31" s="6">
        <v>136617.21</v>
      </c>
      <c r="E31" s="7">
        <v>5.0539990000000001</v>
      </c>
      <c r="F31" s="6">
        <v>115305.86</v>
      </c>
      <c r="G31" s="7">
        <v>-15.599316</v>
      </c>
      <c r="H31" s="6">
        <v>104221.66</v>
      </c>
      <c r="I31" s="7">
        <v>-9.6128680000000006</v>
      </c>
      <c r="J31" s="6">
        <v>140199.54999999999</v>
      </c>
      <c r="K31" s="7">
        <v>34.52055</v>
      </c>
    </row>
    <row r="32" spans="1:11" ht="24" customHeight="1">
      <c r="A32" s="8" t="s">
        <v>27</v>
      </c>
      <c r="B32" s="6">
        <v>206883.46</v>
      </c>
      <c r="C32" s="7">
        <v>13.319898999999999</v>
      </c>
      <c r="D32" s="6">
        <v>183788.52</v>
      </c>
      <c r="E32" s="7">
        <v>-11.163261</v>
      </c>
      <c r="F32" s="6">
        <v>154437.73000000001</v>
      </c>
      <c r="G32" s="7">
        <v>-15.969870999999999</v>
      </c>
      <c r="H32" s="6">
        <v>126042.5</v>
      </c>
      <c r="I32" s="7">
        <v>-18.386199999999999</v>
      </c>
      <c r="J32" s="6">
        <v>179102.71</v>
      </c>
      <c r="K32" s="7">
        <v>42.097078000000003</v>
      </c>
    </row>
    <row r="33" spans="1:11" ht="24" customHeight="1" thickBot="1">
      <c r="A33" s="14" t="s">
        <v>28</v>
      </c>
      <c r="B33" s="15">
        <v>35616.65</v>
      </c>
      <c r="C33" s="16">
        <v>14.12407</v>
      </c>
      <c r="D33" s="15">
        <v>36392.46</v>
      </c>
      <c r="E33" s="16">
        <v>2.178223</v>
      </c>
      <c r="F33" s="15">
        <v>27646.23</v>
      </c>
      <c r="G33" s="16">
        <v>-24.033083000000001</v>
      </c>
      <c r="H33" s="15">
        <v>27568.25</v>
      </c>
      <c r="I33" s="16">
        <v>-0.28206399999999998</v>
      </c>
      <c r="J33" s="15">
        <v>24602.78</v>
      </c>
      <c r="K33" s="16">
        <v>-10.756831</v>
      </c>
    </row>
    <row r="35" spans="1:11" s="20" customFormat="1">
      <c r="A35" s="20" t="s">
        <v>288</v>
      </c>
    </row>
    <row r="36" spans="1:11" ht="11.9" customHeight="1">
      <c r="A36" s="223" t="s">
        <v>53</v>
      </c>
      <c r="B36" s="223"/>
      <c r="C36" s="223"/>
      <c r="D36" s="223"/>
      <c r="E36" s="223"/>
      <c r="F36" s="223"/>
      <c r="G36" s="223"/>
      <c r="H36" s="223"/>
      <c r="I36" s="223"/>
      <c r="J36" s="223"/>
      <c r="K36" s="223"/>
    </row>
    <row r="37" spans="1:11" ht="11.9" customHeight="1">
      <c r="A37" s="222"/>
      <c r="B37" s="222"/>
      <c r="C37" s="222"/>
      <c r="D37" s="222"/>
      <c r="E37" s="222"/>
      <c r="F37" s="222"/>
      <c r="G37" s="222"/>
      <c r="H37" s="222"/>
      <c r="I37" s="222"/>
      <c r="J37" s="222"/>
      <c r="K37" s="222"/>
    </row>
    <row r="38" spans="1:11" ht="11.9" customHeight="1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</row>
    <row r="39" spans="1:11" ht="11.9" customHeight="1">
      <c r="A39" s="221"/>
      <c r="B39" s="221"/>
      <c r="C39" s="221"/>
      <c r="D39" s="221"/>
      <c r="E39" s="221"/>
      <c r="F39" s="221"/>
      <c r="G39" s="221"/>
      <c r="H39" s="221"/>
      <c r="I39" s="221"/>
      <c r="J39" s="221"/>
      <c r="K39" s="221"/>
    </row>
    <row r="40" spans="1:11" ht="11.9" customHeight="1">
      <c r="A40" s="221"/>
      <c r="B40" s="221"/>
      <c r="C40" s="221"/>
      <c r="D40" s="221"/>
      <c r="E40" s="221"/>
      <c r="F40" s="221"/>
      <c r="G40" s="221"/>
      <c r="H40" s="221"/>
      <c r="I40" s="221"/>
      <c r="J40" s="221"/>
      <c r="K40" s="221"/>
    </row>
    <row r="41" spans="1:11" ht="11.9" customHeight="1">
      <c r="A41" s="222"/>
      <c r="B41" s="222"/>
      <c r="C41" s="222"/>
      <c r="D41" s="222"/>
      <c r="E41" s="222"/>
      <c r="F41" s="222"/>
      <c r="G41" s="222"/>
      <c r="H41" s="222"/>
      <c r="I41" s="222"/>
      <c r="J41" s="222"/>
      <c r="K41" s="222"/>
    </row>
    <row r="42" spans="1:11" ht="11.9" customHeight="1">
      <c r="A42" s="222"/>
      <c r="B42" s="222"/>
      <c r="C42" s="222"/>
      <c r="D42" s="222"/>
      <c r="E42" s="222"/>
      <c r="F42" s="222"/>
      <c r="G42" s="222"/>
      <c r="H42" s="222"/>
      <c r="I42" s="222"/>
      <c r="J42" s="222"/>
      <c r="K42" s="222"/>
    </row>
    <row r="43" spans="1:11">
      <c r="A43" s="19"/>
    </row>
    <row r="44" spans="1:11">
      <c r="A44" s="19"/>
    </row>
  </sheetData>
  <mergeCells count="12">
    <mergeCell ref="J4:J5"/>
    <mergeCell ref="A39:K39"/>
    <mergeCell ref="A40:K40"/>
    <mergeCell ref="A41:K41"/>
    <mergeCell ref="A42:K42"/>
    <mergeCell ref="A36:K36"/>
    <mergeCell ref="A37:K37"/>
    <mergeCell ref="A4:A5"/>
    <mergeCell ref="F4:F5"/>
    <mergeCell ref="D4:D5"/>
    <mergeCell ref="B4:B5"/>
    <mergeCell ref="H4:H5"/>
  </mergeCells>
  <phoneticPr fontId="2"/>
  <printOptions horizontalCentered="1"/>
  <pageMargins left="0.78740157480314965" right="0.78740157480314965" top="0.98425196850393704" bottom="0.47244094488188981" header="0.51181102362204722" footer="0.19685039370078741"/>
  <pageSetup paperSize="9" scale="67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EB61-E79D-4729-8920-1CF72540E307}">
  <sheetPr>
    <tabColor rgb="FFFFC000"/>
    <pageSetUpPr fitToPage="1"/>
  </sheetPr>
  <dimension ref="A1:K12"/>
  <sheetViews>
    <sheetView view="pageBreakPreview" zoomScaleNormal="100" zoomScaleSheetLayoutView="100" workbookViewId="0"/>
  </sheetViews>
  <sheetFormatPr defaultColWidth="9" defaultRowHeight="11"/>
  <cols>
    <col min="1" max="1" width="26.90625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A1" s="23" t="s">
        <v>54</v>
      </c>
      <c r="D1" s="1" t="s">
        <v>55</v>
      </c>
    </row>
    <row r="3" spans="1:11" ht="11.5" thickBot="1">
      <c r="K3" s="3" t="s">
        <v>3</v>
      </c>
    </row>
    <row r="4" spans="1:11" ht="12" customHeight="1" thickBot="1">
      <c r="A4" s="217" t="s">
        <v>30</v>
      </c>
      <c r="B4" s="217">
        <v>2017</v>
      </c>
      <c r="C4" s="159"/>
      <c r="D4" s="217">
        <v>2018</v>
      </c>
      <c r="E4" s="159"/>
      <c r="F4" s="217">
        <v>2019</v>
      </c>
      <c r="G4" s="159"/>
      <c r="H4" s="217">
        <v>2020</v>
      </c>
      <c r="I4" s="159"/>
      <c r="J4" s="217">
        <v>2021</v>
      </c>
      <c r="K4" s="159"/>
    </row>
    <row r="5" spans="1:11" ht="25" customHeight="1" thickBot="1">
      <c r="A5" s="218"/>
      <c r="B5" s="220"/>
      <c r="C5" s="4" t="s">
        <v>7</v>
      </c>
      <c r="D5" s="220"/>
      <c r="E5" s="4" t="s">
        <v>7</v>
      </c>
      <c r="F5" s="219"/>
      <c r="G5" s="4" t="s">
        <v>7</v>
      </c>
      <c r="H5" s="219"/>
      <c r="I5" s="4" t="s">
        <v>7</v>
      </c>
      <c r="J5" s="219"/>
      <c r="K5" s="4" t="s">
        <v>7</v>
      </c>
    </row>
    <row r="6" spans="1:11" ht="15" customHeight="1">
      <c r="A6" s="5" t="s">
        <v>31</v>
      </c>
      <c r="B6" s="24">
        <v>674440.32</v>
      </c>
      <c r="C6" s="25">
        <v>14.840706000000001</v>
      </c>
      <c r="D6" s="24">
        <v>677295.16</v>
      </c>
      <c r="E6" s="25">
        <v>0.42329</v>
      </c>
      <c r="F6" s="24">
        <v>551626.42000000004</v>
      </c>
      <c r="G6" s="25">
        <v>-18.554500999999998</v>
      </c>
      <c r="H6" s="24">
        <v>416320.21</v>
      </c>
      <c r="I6" s="25">
        <v>-24.528594999999999</v>
      </c>
      <c r="J6" s="24">
        <v>542155.82999999996</v>
      </c>
      <c r="K6" s="25">
        <v>30.225681000000002</v>
      </c>
    </row>
    <row r="7" spans="1:11" ht="15" customHeight="1">
      <c r="A7" s="8" t="s">
        <v>32</v>
      </c>
      <c r="B7" s="27">
        <v>205366.39</v>
      </c>
      <c r="C7" s="26">
        <v>19.178072</v>
      </c>
      <c r="D7" s="27">
        <v>191516.53</v>
      </c>
      <c r="E7" s="26">
        <v>-6.743976</v>
      </c>
      <c r="F7" s="27">
        <v>140046.9</v>
      </c>
      <c r="G7" s="26">
        <v>-26.874772</v>
      </c>
      <c r="H7" s="27">
        <v>114115.59</v>
      </c>
      <c r="I7" s="26">
        <v>-18.516161</v>
      </c>
      <c r="J7" s="27">
        <v>207440</v>
      </c>
      <c r="K7" s="26">
        <v>81.780596000000003</v>
      </c>
    </row>
    <row r="8" spans="1:11" ht="15" customHeight="1" thickBot="1">
      <c r="A8" s="14" t="s">
        <v>56</v>
      </c>
      <c r="B8" s="28">
        <v>469073.93</v>
      </c>
      <c r="C8" s="29">
        <v>13.039562</v>
      </c>
      <c r="D8" s="28">
        <v>485778.63</v>
      </c>
      <c r="E8" s="29">
        <v>3.5612080000000002</v>
      </c>
      <c r="F8" s="28">
        <v>411579.52</v>
      </c>
      <c r="G8" s="29">
        <v>-15.274264000000001</v>
      </c>
      <c r="H8" s="28">
        <v>302204.62</v>
      </c>
      <c r="I8" s="29">
        <v>-26.574427</v>
      </c>
      <c r="J8" s="28">
        <v>334715.83</v>
      </c>
      <c r="K8" s="29">
        <v>10.758012000000001</v>
      </c>
    </row>
    <row r="9" spans="1:11" ht="11.9" customHeight="1">
      <c r="A9" s="20"/>
      <c r="B9" s="18"/>
      <c r="D9" s="18"/>
      <c r="F9" s="18"/>
      <c r="H9" s="18"/>
      <c r="J9" s="18"/>
    </row>
    <row r="10" spans="1:11">
      <c r="A10" s="20" t="s">
        <v>293</v>
      </c>
    </row>
    <row r="11" spans="1:11">
      <c r="A11" s="19"/>
    </row>
    <row r="12" spans="1:11">
      <c r="A12" s="20"/>
    </row>
  </sheetData>
  <mergeCells count="6">
    <mergeCell ref="H4:H5"/>
    <mergeCell ref="J4:J5"/>
    <mergeCell ref="A4:A5"/>
    <mergeCell ref="F4:F5"/>
    <mergeCell ref="D4:D5"/>
    <mergeCell ref="B4:B5"/>
  </mergeCells>
  <phoneticPr fontId="2"/>
  <printOptions horizontalCentered="1"/>
  <pageMargins left="0.78740157480314965" right="0.78740157480314965" top="0.98425196850393704" bottom="0.47244094488188981" header="0.51181102362204722" footer="0.19685039370078741"/>
  <pageSetup paperSize="9" scale="83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07A3D-C2D0-4256-8883-951C9F19F326}">
  <sheetPr>
    <tabColor rgb="FFFFC000"/>
    <pageSetUpPr fitToPage="1"/>
  </sheetPr>
  <dimension ref="A1:K38"/>
  <sheetViews>
    <sheetView view="pageBreakPreview" zoomScaleNormal="100" zoomScaleSheetLayoutView="100" workbookViewId="0"/>
  </sheetViews>
  <sheetFormatPr defaultColWidth="9" defaultRowHeight="11"/>
  <cols>
    <col min="1" max="1" width="57.453125" style="2" customWidth="1"/>
    <col min="2" max="11" width="12" style="2" customWidth="1"/>
    <col min="12" max="73" width="10.26953125" style="2" customWidth="1"/>
    <col min="74" max="16384" width="9" style="2"/>
  </cols>
  <sheetData>
    <row r="1" spans="1:11" ht="19">
      <c r="B1" s="1" t="s">
        <v>57</v>
      </c>
    </row>
    <row r="3" spans="1:11" ht="11.5" thickBot="1">
      <c r="K3" s="3" t="s">
        <v>58</v>
      </c>
    </row>
    <row r="4" spans="1:11" ht="12" customHeight="1" thickBot="1">
      <c r="A4" s="217" t="s">
        <v>30</v>
      </c>
      <c r="B4" s="224" t="s">
        <v>59</v>
      </c>
      <c r="C4" s="224"/>
      <c r="D4" s="224"/>
      <c r="E4" s="224"/>
      <c r="F4" s="224"/>
      <c r="G4" s="224" t="s">
        <v>60</v>
      </c>
      <c r="H4" s="224"/>
      <c r="I4" s="224"/>
      <c r="J4" s="224"/>
      <c r="K4" s="224"/>
    </row>
    <row r="5" spans="1:11" ht="12" customHeight="1" thickBot="1">
      <c r="A5" s="218"/>
      <c r="B5" s="163" t="s">
        <v>309</v>
      </c>
      <c r="C5" s="30" t="s">
        <v>310</v>
      </c>
      <c r="D5" s="30" t="s">
        <v>311</v>
      </c>
      <c r="E5" s="30" t="s">
        <v>312</v>
      </c>
      <c r="F5" s="30" t="s">
        <v>318</v>
      </c>
      <c r="G5" s="163" t="s">
        <v>309</v>
      </c>
      <c r="H5" s="30" t="s">
        <v>310</v>
      </c>
      <c r="I5" s="30" t="s">
        <v>311</v>
      </c>
      <c r="J5" s="30" t="s">
        <v>312</v>
      </c>
      <c r="K5" s="30" t="s">
        <v>318</v>
      </c>
    </row>
    <row r="6" spans="1:11" ht="24" customHeight="1">
      <c r="A6" s="5" t="s">
        <v>31</v>
      </c>
      <c r="B6" s="13">
        <v>4.3677330000000003</v>
      </c>
      <c r="C6" s="13">
        <v>4.4117389999999999</v>
      </c>
      <c r="D6" s="13">
        <v>3.7224300000000001</v>
      </c>
      <c r="E6" s="13">
        <v>3.0556290000000002</v>
      </c>
      <c r="F6" s="13">
        <v>3.7444600000000001</v>
      </c>
      <c r="G6" s="13">
        <v>5.4110469999999999</v>
      </c>
      <c r="H6" s="13">
        <v>5.4661960000000001</v>
      </c>
      <c r="I6" s="13">
        <v>4.8207420000000001</v>
      </c>
      <c r="J6" s="13">
        <v>4.6132239999999998</v>
      </c>
      <c r="K6" s="13">
        <v>5.7963509999999996</v>
      </c>
    </row>
    <row r="7" spans="1:11" ht="24" customHeight="1">
      <c r="A7" s="8" t="s">
        <v>32</v>
      </c>
      <c r="B7" s="7">
        <v>5.0550509999999997</v>
      </c>
      <c r="C7" s="7">
        <v>4.6229909999999999</v>
      </c>
      <c r="D7" s="7">
        <v>3.514354</v>
      </c>
      <c r="E7" s="7">
        <v>3.1256430000000002</v>
      </c>
      <c r="F7" s="7">
        <v>5.1631020000000003</v>
      </c>
      <c r="G7" s="7">
        <v>6.9703119999999998</v>
      </c>
      <c r="H7" s="7">
        <v>6.6012009999999997</v>
      </c>
      <c r="I7" s="7">
        <v>5.6939789999999997</v>
      </c>
      <c r="J7" s="7">
        <v>5.9793799999999999</v>
      </c>
      <c r="K7" s="7">
        <v>8.2618550000000006</v>
      </c>
    </row>
    <row r="8" spans="1:11" ht="24" customHeight="1">
      <c r="A8" s="8" t="s">
        <v>33</v>
      </c>
      <c r="B8" s="7">
        <v>3.4719329999999999</v>
      </c>
      <c r="C8" s="7">
        <v>3.5040520000000002</v>
      </c>
      <c r="D8" s="7">
        <v>2.9463810000000001</v>
      </c>
      <c r="E8" s="7">
        <v>2.2863380000000002</v>
      </c>
      <c r="F8" s="7">
        <v>2.9052690000000001</v>
      </c>
      <c r="G8" s="7">
        <v>4.3820230000000002</v>
      </c>
      <c r="H8" s="7">
        <v>4.2917100000000001</v>
      </c>
      <c r="I8" s="7">
        <v>3.9957280000000002</v>
      </c>
      <c r="J8" s="7">
        <v>3.5830000000000002</v>
      </c>
      <c r="K8" s="7">
        <v>4.6252979999999999</v>
      </c>
    </row>
    <row r="9" spans="1:11" ht="24" customHeight="1">
      <c r="A9" s="8" t="s">
        <v>34</v>
      </c>
      <c r="B9" s="7">
        <v>8.8946919999999992</v>
      </c>
      <c r="C9" s="7">
        <v>8.5817479999999993</v>
      </c>
      <c r="D9" s="7">
        <v>8.5149869999999996</v>
      </c>
      <c r="E9" s="7">
        <v>8.0885440000000006</v>
      </c>
      <c r="F9" s="7">
        <v>9.604196</v>
      </c>
      <c r="G9" s="7">
        <v>11.579549</v>
      </c>
      <c r="H9" s="7">
        <v>10.599721000000001</v>
      </c>
      <c r="I9" s="7">
        <v>10.876929000000001</v>
      </c>
      <c r="J9" s="7">
        <v>10.395104999999999</v>
      </c>
      <c r="K9" s="7">
        <v>12.800141999999999</v>
      </c>
    </row>
    <row r="10" spans="1:11" s="10" customFormat="1" ht="24" customHeight="1">
      <c r="A10" s="9" t="s">
        <v>35</v>
      </c>
      <c r="B10" s="7">
        <v>3.3444229999999999</v>
      </c>
      <c r="C10" s="7">
        <v>1.699621</v>
      </c>
      <c r="D10" s="7">
        <v>-1.3218080000000001</v>
      </c>
      <c r="E10" s="7">
        <v>2.9186709999999998</v>
      </c>
      <c r="F10" s="7">
        <v>5.7781890000000002</v>
      </c>
      <c r="G10" s="7">
        <v>3.6139899999999998</v>
      </c>
      <c r="H10" s="7">
        <v>2.046011</v>
      </c>
      <c r="I10" s="7">
        <v>-0.31540400000000002</v>
      </c>
      <c r="J10" s="7">
        <v>3.5617670000000001</v>
      </c>
      <c r="K10" s="7">
        <v>6.2643950000000004</v>
      </c>
    </row>
    <row r="11" spans="1:11" s="10" customFormat="1" ht="24" customHeight="1">
      <c r="A11" s="9" t="s">
        <v>37</v>
      </c>
      <c r="B11" s="7">
        <v>3.2059419999999998</v>
      </c>
      <c r="C11" s="7">
        <v>2.5096949999999998</v>
      </c>
      <c r="D11" s="7">
        <v>0.33645999999999998</v>
      </c>
      <c r="E11" s="7">
        <v>-0.87057099999999998</v>
      </c>
      <c r="F11" s="7">
        <v>4.8440779999999997</v>
      </c>
      <c r="G11" s="7">
        <v>4.4477399999999996</v>
      </c>
      <c r="H11" s="7">
        <v>3.847359</v>
      </c>
      <c r="I11" s="7">
        <v>1.5827869999999999</v>
      </c>
      <c r="J11" s="7">
        <v>0.60951599999999995</v>
      </c>
      <c r="K11" s="7">
        <v>6.6732719999999999</v>
      </c>
    </row>
    <row r="12" spans="1:11" ht="24" customHeight="1">
      <c r="A12" s="8" t="s">
        <v>38</v>
      </c>
      <c r="B12" s="7">
        <v>4.418361</v>
      </c>
      <c r="C12" s="7">
        <v>3.6766420000000002</v>
      </c>
      <c r="D12" s="7">
        <v>3.2142659999999998</v>
      </c>
      <c r="E12" s="7">
        <v>2.6635849999999999</v>
      </c>
      <c r="F12" s="7">
        <v>4.0728739999999997</v>
      </c>
      <c r="G12" s="7">
        <v>5.3689580000000001</v>
      </c>
      <c r="H12" s="7">
        <v>4.9801149999999996</v>
      </c>
      <c r="I12" s="7">
        <v>4.6103759999999996</v>
      </c>
      <c r="J12" s="7">
        <v>4.3857369999999998</v>
      </c>
      <c r="K12" s="7">
        <v>6.3300720000000004</v>
      </c>
    </row>
    <row r="13" spans="1:11" ht="24" customHeight="1">
      <c r="A13" s="8" t="s">
        <v>220</v>
      </c>
      <c r="B13" s="7">
        <v>6.688428</v>
      </c>
      <c r="C13" s="7">
        <v>6.6947570000000001</v>
      </c>
      <c r="D13" s="7">
        <v>5.4549500000000002</v>
      </c>
      <c r="E13" s="7">
        <v>4.7411399999999997</v>
      </c>
      <c r="F13" s="7">
        <v>6.9475829999999998</v>
      </c>
      <c r="G13" s="7">
        <v>8.2876569999999994</v>
      </c>
      <c r="H13" s="7">
        <v>8.0003250000000001</v>
      </c>
      <c r="I13" s="7">
        <v>6.3486589999999996</v>
      </c>
      <c r="J13" s="7">
        <v>6.7551629999999996</v>
      </c>
      <c r="K13" s="7">
        <v>9.1833100000000005</v>
      </c>
    </row>
    <row r="14" spans="1:11" ht="24" customHeight="1">
      <c r="A14" s="8" t="s">
        <v>221</v>
      </c>
      <c r="B14" s="7">
        <v>6.4959509999999998</v>
      </c>
      <c r="C14" s="7">
        <v>7.1605910000000002</v>
      </c>
      <c r="D14" s="7">
        <v>5.6583500000000004</v>
      </c>
      <c r="E14" s="7">
        <v>3.6616200000000001</v>
      </c>
      <c r="F14" s="7">
        <v>6.0231919999999999</v>
      </c>
      <c r="G14" s="7">
        <v>7.8847149999999999</v>
      </c>
      <c r="H14" s="7">
        <v>9.7926859999999998</v>
      </c>
      <c r="I14" s="7">
        <v>8.411721</v>
      </c>
      <c r="J14" s="7">
        <v>7.8126889999999998</v>
      </c>
      <c r="K14" s="7">
        <v>9.3645209999999999</v>
      </c>
    </row>
    <row r="15" spans="1:11" ht="24" customHeight="1">
      <c r="A15" s="8" t="s">
        <v>222</v>
      </c>
      <c r="B15" s="7">
        <v>6.1479179999999998</v>
      </c>
      <c r="C15" s="7">
        <v>6.5368830000000004</v>
      </c>
      <c r="D15" s="7">
        <v>4.6766480000000001</v>
      </c>
      <c r="E15" s="7">
        <v>3.484111</v>
      </c>
      <c r="F15" s="7">
        <v>6.4116679999999997</v>
      </c>
      <c r="G15" s="7">
        <v>11.516249999999999</v>
      </c>
      <c r="H15" s="7">
        <v>7.3576459999999999</v>
      </c>
      <c r="I15" s="7">
        <v>7.6738030000000004</v>
      </c>
      <c r="J15" s="7">
        <v>8.3265890000000002</v>
      </c>
      <c r="K15" s="7">
        <v>11.807653999999999</v>
      </c>
    </row>
    <row r="16" spans="1:11" ht="24" customHeight="1">
      <c r="A16" s="8" t="s">
        <v>223</v>
      </c>
      <c r="B16" s="7">
        <v>5.838768</v>
      </c>
      <c r="C16" s="7">
        <v>4.9491350000000001</v>
      </c>
      <c r="D16" s="7">
        <v>4.2772509999999997</v>
      </c>
      <c r="E16" s="7">
        <v>3.2181839999999999</v>
      </c>
      <c r="F16" s="7">
        <v>6.4631270000000001</v>
      </c>
      <c r="G16" s="7">
        <v>8.2949199999999994</v>
      </c>
      <c r="H16" s="7">
        <v>7.8177310000000002</v>
      </c>
      <c r="I16" s="7">
        <v>7.1984659999999998</v>
      </c>
      <c r="J16" s="7">
        <v>7.5469039999999996</v>
      </c>
      <c r="K16" s="7">
        <v>10.453804</v>
      </c>
    </row>
    <row r="17" spans="1:11" ht="24" customHeight="1">
      <c r="A17" s="8" t="s">
        <v>224</v>
      </c>
      <c r="B17" s="7">
        <v>4.9973929999999998</v>
      </c>
      <c r="C17" s="7">
        <v>4.4780930000000003</v>
      </c>
      <c r="D17" s="7">
        <v>1.821755</v>
      </c>
      <c r="E17" s="7">
        <v>3.0844719999999999</v>
      </c>
      <c r="F17" s="7">
        <v>7.638693</v>
      </c>
      <c r="G17" s="7">
        <v>6.1857699999999998</v>
      </c>
      <c r="H17" s="7">
        <v>5.7968539999999997</v>
      </c>
      <c r="I17" s="7">
        <v>4.7559329999999997</v>
      </c>
      <c r="J17" s="7">
        <v>6.0015710000000002</v>
      </c>
      <c r="K17" s="7">
        <v>10.249498000000001</v>
      </c>
    </row>
    <row r="18" spans="1:11" ht="24" customHeight="1">
      <c r="A18" s="11" t="s">
        <v>225</v>
      </c>
      <c r="B18" s="7">
        <v>4.8873759999999997</v>
      </c>
      <c r="C18" s="7">
        <v>3.90124</v>
      </c>
      <c r="D18" s="7">
        <v>2.0272350000000001</v>
      </c>
      <c r="E18" s="7">
        <v>1.0149330000000001</v>
      </c>
      <c r="F18" s="7">
        <v>2.7824900000000001</v>
      </c>
      <c r="G18" s="7">
        <v>7.9419300000000002</v>
      </c>
      <c r="H18" s="7">
        <v>7.5426710000000003</v>
      </c>
      <c r="I18" s="7">
        <v>5.1506210000000001</v>
      </c>
      <c r="J18" s="7">
        <v>5.5854840000000001</v>
      </c>
      <c r="K18" s="7">
        <v>7.1961259999999996</v>
      </c>
    </row>
    <row r="19" spans="1:11" ht="24" customHeight="1">
      <c r="A19" s="8" t="s">
        <v>61</v>
      </c>
      <c r="B19" s="7">
        <v>4.1223390000000002</v>
      </c>
      <c r="C19" s="7">
        <v>4.333666</v>
      </c>
      <c r="D19" s="7">
        <v>3.7989660000000001</v>
      </c>
      <c r="E19" s="7">
        <v>3.03</v>
      </c>
      <c r="F19" s="7">
        <v>3.1996120000000001</v>
      </c>
      <c r="G19" s="7">
        <v>4.8543409999999998</v>
      </c>
      <c r="H19" s="7">
        <v>5.046729</v>
      </c>
      <c r="I19" s="7">
        <v>4.4995440000000002</v>
      </c>
      <c r="J19" s="7">
        <v>4.1131349999999998</v>
      </c>
      <c r="K19" s="7">
        <v>4.8494409999999997</v>
      </c>
    </row>
    <row r="20" spans="1:11" ht="24" customHeight="1">
      <c r="A20" s="8" t="s">
        <v>40</v>
      </c>
      <c r="B20" s="7">
        <v>4.2281129999999996</v>
      </c>
      <c r="C20" s="7">
        <v>4.3681890000000001</v>
      </c>
      <c r="D20" s="7">
        <v>4.2741569999999998</v>
      </c>
      <c r="E20" s="7">
        <v>4.2683939999999998</v>
      </c>
      <c r="F20" s="7">
        <v>3.8762669999999999</v>
      </c>
      <c r="G20" s="7">
        <v>4.7129770000000004</v>
      </c>
      <c r="H20" s="7">
        <v>4.9653830000000001</v>
      </c>
      <c r="I20" s="7">
        <v>4.8375500000000002</v>
      </c>
      <c r="J20" s="7">
        <v>5.2386160000000004</v>
      </c>
      <c r="K20" s="7">
        <v>5.0751270000000002</v>
      </c>
    </row>
    <row r="21" spans="1:11" ht="24" customHeight="1">
      <c r="A21" s="8" t="s">
        <v>41</v>
      </c>
      <c r="B21" s="7">
        <v>1.718291</v>
      </c>
      <c r="C21" s="7">
        <v>1.705228</v>
      </c>
      <c r="D21" s="7">
        <v>1.5487230000000001</v>
      </c>
      <c r="E21" s="7">
        <v>1.5291859999999999</v>
      </c>
      <c r="F21" s="7">
        <v>1.846128</v>
      </c>
      <c r="G21" s="7">
        <v>2.4123329999999998</v>
      </c>
      <c r="H21" s="7">
        <v>2.3969330000000002</v>
      </c>
      <c r="I21" s="7">
        <v>2.237835</v>
      </c>
      <c r="J21" s="7">
        <v>2.2950759999999999</v>
      </c>
      <c r="K21" s="7">
        <v>2.992467</v>
      </c>
    </row>
    <row r="22" spans="1:11" ht="24" customHeight="1">
      <c r="A22" s="8" t="s">
        <v>42</v>
      </c>
      <c r="B22" s="7">
        <v>13.151679</v>
      </c>
      <c r="C22" s="7">
        <v>11.080253000000001</v>
      </c>
      <c r="D22" s="7">
        <v>9.3913239999999991</v>
      </c>
      <c r="E22" s="7">
        <v>10.167018000000001</v>
      </c>
      <c r="F22" s="7">
        <v>11.050528999999999</v>
      </c>
      <c r="G22" s="7">
        <v>13.975365</v>
      </c>
      <c r="H22" s="7">
        <v>11.089650000000001</v>
      </c>
      <c r="I22" s="7">
        <v>10.161612999999999</v>
      </c>
      <c r="J22" s="7">
        <v>12.081185</v>
      </c>
      <c r="K22" s="7">
        <v>12.469509</v>
      </c>
    </row>
    <row r="23" spans="1:11" ht="24" customHeight="1">
      <c r="A23" s="8" t="s">
        <v>43</v>
      </c>
      <c r="B23" s="7">
        <v>6.1094049999999998</v>
      </c>
      <c r="C23" s="7">
        <v>7.4641539999999997</v>
      </c>
      <c r="D23" s="7">
        <v>4.0959300000000001</v>
      </c>
      <c r="E23" s="7">
        <v>2.9591699999999999</v>
      </c>
      <c r="F23" s="7">
        <v>2.6999029999999999</v>
      </c>
      <c r="G23" s="7">
        <v>5.8516510000000004</v>
      </c>
      <c r="H23" s="7">
        <v>5.7991239999999999</v>
      </c>
      <c r="I23" s="7">
        <v>4.0803260000000003</v>
      </c>
      <c r="J23" s="7">
        <v>3.4545059999999999</v>
      </c>
      <c r="K23" s="7">
        <v>2.609645</v>
      </c>
    </row>
    <row r="24" spans="1:11" ht="24" customHeight="1">
      <c r="A24" s="8" t="s">
        <v>44</v>
      </c>
      <c r="B24" s="7">
        <v>9.5778719999999993</v>
      </c>
      <c r="C24" s="7">
        <v>8.861777</v>
      </c>
      <c r="D24" s="7">
        <v>8.4654710000000009</v>
      </c>
      <c r="E24" s="7">
        <v>8.5904129999999999</v>
      </c>
      <c r="F24" s="7">
        <v>8.5815830000000002</v>
      </c>
      <c r="G24" s="7">
        <v>10.562148000000001</v>
      </c>
      <c r="H24" s="7">
        <v>9.8659599999999994</v>
      </c>
      <c r="I24" s="7">
        <v>9.3348499999999994</v>
      </c>
      <c r="J24" s="7">
        <v>9.4324549999999991</v>
      </c>
      <c r="K24" s="7">
        <v>10.205985</v>
      </c>
    </row>
    <row r="25" spans="1:11" ht="24" customHeight="1">
      <c r="A25" s="8" t="s">
        <v>45</v>
      </c>
      <c r="B25" s="7">
        <v>5.089594</v>
      </c>
      <c r="C25" s="7">
        <v>4.9203809999999999</v>
      </c>
      <c r="D25" s="7">
        <v>4.4491889999999996</v>
      </c>
      <c r="E25" s="7">
        <v>-2.7918219999999998</v>
      </c>
      <c r="F25" s="7">
        <v>-0.201516</v>
      </c>
      <c r="G25" s="7">
        <v>5.550643</v>
      </c>
      <c r="H25" s="7">
        <v>5.3566060000000002</v>
      </c>
      <c r="I25" s="7">
        <v>5.0495760000000001</v>
      </c>
      <c r="J25" s="7">
        <v>-1.4639530000000001</v>
      </c>
      <c r="K25" s="7">
        <v>1.8617919999999999</v>
      </c>
    </row>
    <row r="26" spans="1:11" ht="24" customHeight="1">
      <c r="A26" s="8" t="s">
        <v>46</v>
      </c>
      <c r="B26" s="7">
        <v>4.5381159999999996</v>
      </c>
      <c r="C26" s="7">
        <v>3.6761439999999999</v>
      </c>
      <c r="D26" s="7">
        <v>3.7434090000000002</v>
      </c>
      <c r="E26" s="7">
        <v>3.4074779999999998</v>
      </c>
      <c r="F26" s="7">
        <v>-0.102321</v>
      </c>
      <c r="G26" s="7">
        <v>4.0441440000000002</v>
      </c>
      <c r="H26" s="7">
        <v>3.6521750000000002</v>
      </c>
      <c r="I26" s="7">
        <v>3.9822410000000001</v>
      </c>
      <c r="J26" s="7">
        <v>3.6065179999999999</v>
      </c>
      <c r="K26" s="7">
        <v>1.088247</v>
      </c>
    </row>
    <row r="27" spans="1:11" ht="24" customHeight="1" thickBot="1">
      <c r="A27" s="14" t="s">
        <v>47</v>
      </c>
      <c r="B27" s="16">
        <v>6.737228</v>
      </c>
      <c r="C27" s="16">
        <v>8.2518770000000004</v>
      </c>
      <c r="D27" s="16">
        <v>6.3407210000000003</v>
      </c>
      <c r="E27" s="16">
        <v>3.9850720000000002</v>
      </c>
      <c r="F27" s="16">
        <v>3.7363209999999998</v>
      </c>
      <c r="G27" s="16">
        <v>7.8891749999999998</v>
      </c>
      <c r="H27" s="16">
        <v>9.4547120000000007</v>
      </c>
      <c r="I27" s="16">
        <v>7.0852029999999999</v>
      </c>
      <c r="J27" s="16">
        <v>6.094576</v>
      </c>
      <c r="K27" s="16">
        <v>7.3659230000000004</v>
      </c>
    </row>
    <row r="28" spans="1:11" ht="24" customHeight="1">
      <c r="A28" s="8" t="s">
        <v>48</v>
      </c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24" customHeight="1">
      <c r="A29" s="8" t="s">
        <v>49</v>
      </c>
      <c r="B29" s="7">
        <v>6.3314380000000003</v>
      </c>
      <c r="C29" s="7">
        <v>6.3623630000000002</v>
      </c>
      <c r="D29" s="7">
        <v>5.4677889999999998</v>
      </c>
      <c r="E29" s="7">
        <v>5.032953</v>
      </c>
      <c r="F29" s="7">
        <v>6.4003399999999999</v>
      </c>
      <c r="G29" s="7">
        <v>8.1418090000000003</v>
      </c>
      <c r="H29" s="7">
        <v>8.1783549999999998</v>
      </c>
      <c r="I29" s="7">
        <v>7.3906590000000003</v>
      </c>
      <c r="J29" s="7">
        <v>7.2366339999999996</v>
      </c>
      <c r="K29" s="7">
        <v>9.1119959999999995</v>
      </c>
    </row>
    <row r="30" spans="1:11" ht="24" customHeight="1">
      <c r="A30" s="8" t="s">
        <v>50</v>
      </c>
      <c r="B30" s="7">
        <v>4.0041669999999998</v>
      </c>
      <c r="C30" s="7">
        <v>4.0840509999999997</v>
      </c>
      <c r="D30" s="7">
        <v>3.5289009999999998</v>
      </c>
      <c r="E30" s="7">
        <v>3.3433290000000002</v>
      </c>
      <c r="F30" s="7">
        <v>4.2198760000000002</v>
      </c>
      <c r="G30" s="7">
        <v>4.5297169999999998</v>
      </c>
      <c r="H30" s="7">
        <v>4.5842369999999999</v>
      </c>
      <c r="I30" s="7">
        <v>3.9702630000000001</v>
      </c>
      <c r="J30" s="7">
        <v>3.9331109999999998</v>
      </c>
      <c r="K30" s="7">
        <v>4.9614750000000001</v>
      </c>
    </row>
    <row r="31" spans="1:11" ht="24" customHeight="1">
      <c r="A31" s="8" t="s">
        <v>51</v>
      </c>
      <c r="B31" s="7">
        <v>3.17197</v>
      </c>
      <c r="C31" s="7">
        <v>2.9620639999999998</v>
      </c>
      <c r="D31" s="7">
        <v>2.4360529999999998</v>
      </c>
      <c r="E31" s="7">
        <v>1.6422030000000001</v>
      </c>
      <c r="F31" s="7">
        <v>2.0188760000000001</v>
      </c>
      <c r="G31" s="7">
        <v>3.7663739999999999</v>
      </c>
      <c r="H31" s="7">
        <v>3.5778249999999998</v>
      </c>
      <c r="I31" s="7">
        <v>3.0935579999999998</v>
      </c>
      <c r="J31" s="7">
        <v>2.7164380000000001</v>
      </c>
      <c r="K31" s="7">
        <v>3.6110370000000001</v>
      </c>
    </row>
    <row r="32" spans="1:11" ht="24" customHeight="1" thickBot="1">
      <c r="A32" s="14" t="s">
        <v>52</v>
      </c>
      <c r="B32" s="16">
        <v>1.8119000000000001</v>
      </c>
      <c r="C32" s="16">
        <v>2.1064120000000002</v>
      </c>
      <c r="D32" s="16">
        <v>1.485725</v>
      </c>
      <c r="E32" s="16">
        <v>-0.51890599999999998</v>
      </c>
      <c r="F32" s="16">
        <v>-2.0009079999999999</v>
      </c>
      <c r="G32" s="16">
        <v>2.5606499999999999</v>
      </c>
      <c r="H32" s="16">
        <v>2.722254</v>
      </c>
      <c r="I32" s="16">
        <v>2.1593239999999998</v>
      </c>
      <c r="J32" s="16">
        <v>2.2741769999999999</v>
      </c>
      <c r="K32" s="16">
        <v>1.957109</v>
      </c>
    </row>
    <row r="34" spans="1:11" ht="11.25" customHeight="1">
      <c r="A34" s="221" t="s">
        <v>294</v>
      </c>
      <c r="B34" s="221"/>
      <c r="C34" s="221"/>
      <c r="D34" s="221"/>
      <c r="E34" s="22"/>
      <c r="F34" s="22"/>
      <c r="G34" s="22"/>
      <c r="H34" s="22"/>
      <c r="I34" s="22"/>
      <c r="J34" s="22"/>
      <c r="K34" s="22"/>
    </row>
    <row r="35" spans="1:11" ht="11.25" customHeight="1">
      <c r="A35" s="221"/>
      <c r="B35" s="221"/>
      <c r="C35" s="221"/>
      <c r="D35" s="221"/>
      <c r="E35" s="221"/>
      <c r="F35" s="221"/>
      <c r="G35" s="221"/>
      <c r="H35" s="221"/>
      <c r="I35" s="221"/>
      <c r="J35" s="22"/>
      <c r="K35" s="22"/>
    </row>
    <row r="36" spans="1:11" ht="11.25" customHeight="1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7" spans="1:1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spans="1:11">
      <c r="A38" s="222"/>
      <c r="B38" s="222"/>
      <c r="C38" s="222"/>
      <c r="D38" s="222"/>
      <c r="E38" s="222"/>
      <c r="F38" s="222"/>
      <c r="G38" s="222"/>
      <c r="H38" s="222"/>
      <c r="I38" s="222"/>
      <c r="J38" s="222"/>
      <c r="K38" s="222"/>
    </row>
  </sheetData>
  <mergeCells count="6">
    <mergeCell ref="A35:I35"/>
    <mergeCell ref="A38:K38"/>
    <mergeCell ref="A4:A5"/>
    <mergeCell ref="B4:F4"/>
    <mergeCell ref="G4:K4"/>
    <mergeCell ref="A34:D34"/>
  </mergeCells>
  <phoneticPr fontId="2"/>
  <printOptions horizontalCentered="1"/>
  <pageMargins left="0.78740157480314965" right="0.78740157480314965" top="0.98425196850393704" bottom="0.47244094488188981" header="0.51181102362204722" footer="0.19685039370078741"/>
  <pageSetup paperSize="9" scale="71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9415-08A0-42D6-8395-F2B9ADE7530A}">
  <sheetPr>
    <tabColor rgb="FFFFC000"/>
    <pageSetUpPr fitToPage="1"/>
  </sheetPr>
  <dimension ref="A1:K13"/>
  <sheetViews>
    <sheetView view="pageBreakPreview" zoomScaleNormal="100" zoomScaleSheetLayoutView="100" workbookViewId="0"/>
  </sheetViews>
  <sheetFormatPr defaultColWidth="9" defaultRowHeight="11"/>
  <cols>
    <col min="1" max="1" width="26.90625" style="2" customWidth="1"/>
    <col min="2" max="2" width="17.7265625" style="2" customWidth="1"/>
    <col min="3" max="3" width="9.453125" style="2" customWidth="1"/>
    <col min="4" max="4" width="17.7265625" style="2" customWidth="1"/>
    <col min="5" max="5" width="9.453125" style="2" customWidth="1"/>
    <col min="6" max="6" width="17.7265625" style="2" customWidth="1"/>
    <col min="7" max="7" width="9.453125" style="2" customWidth="1"/>
    <col min="8" max="8" width="17.7265625" style="2" customWidth="1"/>
    <col min="9" max="9" width="9.453125" style="2" customWidth="1"/>
    <col min="10" max="10" width="17.7265625" style="2" customWidth="1"/>
    <col min="11" max="11" width="9.453125" style="2" customWidth="1"/>
    <col min="12" max="73" width="10.26953125" style="2" customWidth="1"/>
    <col min="74" max="16384" width="9" style="2"/>
  </cols>
  <sheetData>
    <row r="1" spans="1:11" ht="19">
      <c r="D1" s="1" t="s">
        <v>251</v>
      </c>
    </row>
    <row r="3" spans="1:11" ht="11.5" thickBot="1">
      <c r="K3" s="3" t="s">
        <v>3</v>
      </c>
    </row>
    <row r="4" spans="1:11" ht="12" customHeight="1" thickBot="1">
      <c r="A4" s="226" t="s">
        <v>30</v>
      </c>
      <c r="B4" s="217">
        <v>2017</v>
      </c>
      <c r="C4" s="159"/>
      <c r="D4" s="217">
        <v>2018</v>
      </c>
      <c r="E4" s="159"/>
      <c r="F4" s="217">
        <v>2019</v>
      </c>
      <c r="G4" s="159"/>
      <c r="H4" s="217">
        <v>2020</v>
      </c>
      <c r="I4" s="159"/>
      <c r="J4" s="217">
        <v>2021</v>
      </c>
      <c r="K4" s="159"/>
    </row>
    <row r="5" spans="1:11" ht="25" customHeight="1" thickBot="1">
      <c r="A5" s="227"/>
      <c r="B5" s="220"/>
      <c r="C5" s="4" t="s">
        <v>62</v>
      </c>
      <c r="D5" s="220"/>
      <c r="E5" s="4" t="s">
        <v>62</v>
      </c>
      <c r="F5" s="219"/>
      <c r="G5" s="4" t="s">
        <v>62</v>
      </c>
      <c r="H5" s="219"/>
      <c r="I5" s="4" t="s">
        <v>62</v>
      </c>
      <c r="J5" s="219"/>
      <c r="K5" s="4" t="s">
        <v>62</v>
      </c>
    </row>
    <row r="6" spans="1:11" ht="24" customHeight="1">
      <c r="A6" s="8" t="s">
        <v>63</v>
      </c>
      <c r="B6" s="6">
        <v>614706.62</v>
      </c>
      <c r="C6" s="7">
        <v>100</v>
      </c>
      <c r="D6" s="6">
        <v>620300.19999999995</v>
      </c>
      <c r="E6" s="7">
        <v>100</v>
      </c>
      <c r="F6" s="6">
        <v>449629.72</v>
      </c>
      <c r="G6" s="7">
        <v>100</v>
      </c>
      <c r="H6" s="6">
        <v>385356.6</v>
      </c>
      <c r="I6" s="7">
        <v>100</v>
      </c>
      <c r="J6" s="6">
        <v>630070.71</v>
      </c>
      <c r="K6" s="7">
        <v>100</v>
      </c>
    </row>
    <row r="7" spans="1:11" ht="24" customHeight="1" thickBot="1">
      <c r="A7" s="14" t="s">
        <v>291</v>
      </c>
      <c r="B7" s="15">
        <v>233181.73</v>
      </c>
      <c r="C7" s="16">
        <v>37.933824000000001</v>
      </c>
      <c r="D7" s="15">
        <v>262068.33</v>
      </c>
      <c r="E7" s="16">
        <v>42.248629000000001</v>
      </c>
      <c r="F7" s="15">
        <v>243951.02</v>
      </c>
      <c r="G7" s="16">
        <v>54.255982000000003</v>
      </c>
      <c r="H7" s="15">
        <v>262436.74</v>
      </c>
      <c r="I7" s="16">
        <v>68.102307999999994</v>
      </c>
      <c r="J7" s="15">
        <v>298649.45</v>
      </c>
      <c r="K7" s="16">
        <v>47.399355</v>
      </c>
    </row>
    <row r="8" spans="1:11" ht="8.25" customHeight="1">
      <c r="A8" s="20"/>
      <c r="D8" s="18"/>
      <c r="F8" s="18"/>
      <c r="H8" s="18"/>
      <c r="J8" s="18"/>
    </row>
    <row r="9" spans="1:11" ht="11.9" customHeight="1">
      <c r="A9" s="225" t="s">
        <v>319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</row>
    <row r="10" spans="1:11">
      <c r="A10" s="20" t="s">
        <v>314</v>
      </c>
    </row>
    <row r="11" spans="1:11">
      <c r="A11" s="20"/>
    </row>
    <row r="12" spans="1:11">
      <c r="A12" s="20"/>
    </row>
    <row r="13" spans="1:11">
      <c r="A13" s="20"/>
    </row>
  </sheetData>
  <mergeCells count="7">
    <mergeCell ref="A9:K9"/>
    <mergeCell ref="A4:A5"/>
    <mergeCell ref="H4:H5"/>
    <mergeCell ref="J4:J5"/>
    <mergeCell ref="B4:B5"/>
    <mergeCell ref="D4:D5"/>
    <mergeCell ref="F4:F5"/>
  </mergeCells>
  <phoneticPr fontId="2"/>
  <printOptions horizontalCentered="1"/>
  <pageMargins left="0.78740157480314965" right="0.78740157480314965" top="0.98425196850393704" bottom="0.47244094488188981" header="0.51181102362204722" footer="0.19685039370078741"/>
  <pageSetup paperSize="9" scale="81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1CEE-D6EC-44EF-91A4-7FB3CE3D7DC5}">
  <sheetPr>
    <tabColor rgb="FFFFC000"/>
    <pageSetUpPr fitToPage="1"/>
  </sheetPr>
  <dimension ref="A1:K16"/>
  <sheetViews>
    <sheetView view="pageBreakPreview" zoomScaleNormal="100" zoomScaleSheetLayoutView="100" workbookViewId="0"/>
  </sheetViews>
  <sheetFormatPr defaultRowHeight="13"/>
  <cols>
    <col min="1" max="1" width="26.453125" customWidth="1"/>
    <col min="2" max="2" width="11.6328125" customWidth="1"/>
    <col min="4" max="4" width="11.6328125" customWidth="1"/>
    <col min="6" max="6" width="11.6328125" customWidth="1"/>
    <col min="8" max="8" width="11.6328125" customWidth="1"/>
    <col min="10" max="10" width="11.6328125" customWidth="1"/>
  </cols>
  <sheetData>
    <row r="1" spans="1:11" ht="24" customHeight="1">
      <c r="A1" s="1"/>
      <c r="B1" s="1"/>
      <c r="C1" s="1"/>
      <c r="D1" s="1" t="s">
        <v>265</v>
      </c>
      <c r="E1" s="1"/>
      <c r="F1" s="1"/>
      <c r="G1" s="1"/>
      <c r="H1" s="1"/>
      <c r="I1" s="1"/>
      <c r="J1" s="1"/>
      <c r="K1" s="1"/>
    </row>
    <row r="2" spans="1:11" ht="24" customHeight="1" thickBot="1">
      <c r="A2" s="166"/>
      <c r="B2" s="167"/>
      <c r="C2" s="167"/>
      <c r="D2" s="166"/>
      <c r="E2" s="167"/>
      <c r="F2" s="167"/>
      <c r="G2" s="167"/>
      <c r="H2" s="167"/>
      <c r="I2" s="167"/>
      <c r="J2" s="167"/>
      <c r="K2" s="3" t="s">
        <v>3</v>
      </c>
    </row>
    <row r="3" spans="1:11" ht="24" customHeight="1" thickBot="1">
      <c r="A3" s="230" t="s">
        <v>254</v>
      </c>
      <c r="B3" s="228">
        <v>2017</v>
      </c>
      <c r="C3" s="184"/>
      <c r="D3" s="228">
        <v>2018</v>
      </c>
      <c r="E3" s="184"/>
      <c r="F3" s="228">
        <v>2019</v>
      </c>
      <c r="G3" s="184"/>
      <c r="H3" s="228">
        <v>2020</v>
      </c>
      <c r="I3" s="184"/>
      <c r="J3" s="228">
        <v>2021</v>
      </c>
      <c r="K3" s="184"/>
    </row>
    <row r="4" spans="1:11" ht="24" customHeight="1" thickBot="1">
      <c r="A4" s="231"/>
      <c r="B4" s="229"/>
      <c r="C4" s="170" t="s">
        <v>7</v>
      </c>
      <c r="D4" s="229"/>
      <c r="E4" s="170" t="s">
        <v>7</v>
      </c>
      <c r="F4" s="229"/>
      <c r="G4" s="170" t="s">
        <v>7</v>
      </c>
      <c r="H4" s="229"/>
      <c r="I4" s="170" t="s">
        <v>7</v>
      </c>
      <c r="J4" s="229"/>
      <c r="K4" s="170" t="s">
        <v>252</v>
      </c>
    </row>
    <row r="5" spans="1:11" ht="24" customHeight="1">
      <c r="A5" s="201" t="s">
        <v>255</v>
      </c>
      <c r="B5" s="173">
        <v>4464844</v>
      </c>
      <c r="C5" s="174">
        <v>9.9079645564584808</v>
      </c>
      <c r="D5" s="173">
        <v>4631308</v>
      </c>
      <c r="E5" s="174">
        <f>(D5-B5)/B5*100</f>
        <v>3.7283273502948813</v>
      </c>
      <c r="F5" s="173">
        <v>4750161</v>
      </c>
      <c r="G5" s="174">
        <f>(F5-D5)/D5*100</f>
        <v>2.5662944464069333</v>
      </c>
      <c r="H5" s="173">
        <v>4843648</v>
      </c>
      <c r="I5" s="174">
        <f>(H5-F5)/F5*100</f>
        <v>1.9680806608449692</v>
      </c>
      <c r="J5" s="173">
        <v>5164750</v>
      </c>
      <c r="K5" s="174">
        <f>(J5-H5)/H5*100</f>
        <v>6.6293421817605243</v>
      </c>
    </row>
    <row r="6" spans="1:11" ht="24" customHeight="1">
      <c r="A6" s="202" t="s">
        <v>257</v>
      </c>
      <c r="B6" s="168">
        <v>1533205</v>
      </c>
      <c r="C6" s="175">
        <v>9.0583117213829549</v>
      </c>
      <c r="D6" s="168">
        <v>1636012</v>
      </c>
      <c r="E6" s="175">
        <f>(D6-B6)/B6*100</f>
        <v>6.7053655577695093</v>
      </c>
      <c r="F6" s="168">
        <v>1629354</v>
      </c>
      <c r="G6" s="175">
        <f>(F6-D6)/D6*100</f>
        <v>-0.40696523008388696</v>
      </c>
      <c r="H6" s="168">
        <v>1678193</v>
      </c>
      <c r="I6" s="175">
        <f>(H6-F6)/F6*100</f>
        <v>2.9974456134148872</v>
      </c>
      <c r="J6" s="168">
        <v>1861465</v>
      </c>
      <c r="K6" s="175">
        <f>(J6-H6)/H6*100</f>
        <v>10.920793973041242</v>
      </c>
    </row>
    <row r="7" spans="1:11" ht="24" customHeight="1" thickBot="1">
      <c r="A7" s="203" t="s">
        <v>299</v>
      </c>
      <c r="B7" s="169">
        <v>2931639</v>
      </c>
      <c r="C7" s="175">
        <v>10.357656289937584</v>
      </c>
      <c r="D7" s="169">
        <v>2995296</v>
      </c>
      <c r="E7" s="175">
        <f>(D7-B7)/B7*100</f>
        <v>2.1713792182461757</v>
      </c>
      <c r="F7" s="169">
        <v>3120806</v>
      </c>
      <c r="G7" s="175">
        <f>(F7-D7)/D7*100</f>
        <v>4.1902369582171515</v>
      </c>
      <c r="H7" s="169">
        <v>3165455</v>
      </c>
      <c r="I7" s="175">
        <f>(H7-F7)/F7*100</f>
        <v>1.4306880978824061</v>
      </c>
      <c r="J7" s="169">
        <v>3303285</v>
      </c>
      <c r="K7" s="175">
        <f>(J7-H7)/H7*100</f>
        <v>4.3541923672900111</v>
      </c>
    </row>
    <row r="8" spans="1:11" ht="24" customHeight="1">
      <c r="A8" s="204" t="s">
        <v>259</v>
      </c>
      <c r="B8" s="168"/>
      <c r="C8" s="171"/>
      <c r="D8" s="168"/>
      <c r="E8" s="171"/>
      <c r="F8" s="168"/>
      <c r="G8" s="171"/>
      <c r="H8" s="168"/>
      <c r="I8" s="171"/>
      <c r="J8" s="168"/>
      <c r="K8" s="171"/>
    </row>
    <row r="9" spans="1:11" ht="24" customHeight="1">
      <c r="A9" s="202" t="s">
        <v>261</v>
      </c>
      <c r="B9" s="168">
        <v>2166053</v>
      </c>
      <c r="C9" s="175">
        <v>10.5085103756075</v>
      </c>
      <c r="D9" s="168">
        <v>2340903</v>
      </c>
      <c r="E9" s="175">
        <f>(D9-B9)/B9*100</f>
        <v>8.0722863198638262</v>
      </c>
      <c r="F9" s="168">
        <v>2375822</v>
      </c>
      <c r="G9" s="175">
        <f>(F9-D9)/D9*100</f>
        <v>1.4916893181819153</v>
      </c>
      <c r="H9" s="168">
        <v>2420728</v>
      </c>
      <c r="I9" s="175">
        <f t="shared" ref="I9:K12" si="0">(H9-F9)/F9*100</f>
        <v>1.8901247652391466</v>
      </c>
      <c r="J9" s="168">
        <v>2564249</v>
      </c>
      <c r="K9" s="175">
        <f t="shared" si="0"/>
        <v>5.9288362839608579</v>
      </c>
    </row>
    <row r="10" spans="1:11" ht="24" customHeight="1">
      <c r="A10" s="202" t="s">
        <v>262</v>
      </c>
      <c r="B10" s="168">
        <v>643230</v>
      </c>
      <c r="C10" s="175">
        <v>8.8967103960018896</v>
      </c>
      <c r="D10" s="168">
        <v>695895</v>
      </c>
      <c r="E10" s="175">
        <f>(D10-B10)/B10*100</f>
        <v>8.1875845343034364</v>
      </c>
      <c r="F10" s="168">
        <v>708950</v>
      </c>
      <c r="G10" s="175">
        <f>(F10-D10)/D10*100</f>
        <v>1.87600140825843</v>
      </c>
      <c r="H10" s="168">
        <v>711726</v>
      </c>
      <c r="I10" s="175">
        <f t="shared" si="0"/>
        <v>0.39156499047887716</v>
      </c>
      <c r="J10" s="168">
        <v>794325</v>
      </c>
      <c r="K10" s="175">
        <f t="shared" si="0"/>
        <v>11.605449288068723</v>
      </c>
    </row>
    <row r="11" spans="1:11" ht="24" customHeight="1">
      <c r="A11" s="202" t="s">
        <v>263</v>
      </c>
      <c r="B11" s="168">
        <v>1496804</v>
      </c>
      <c r="C11" s="175">
        <v>8.431371412675599</v>
      </c>
      <c r="D11" s="168">
        <v>1464067</v>
      </c>
      <c r="E11" s="175">
        <f>(D11-B11)/B11*100</f>
        <v>-2.1871267046320026</v>
      </c>
      <c r="F11" s="168">
        <v>1535269</v>
      </c>
      <c r="G11" s="175">
        <f>(F11-D11)/D11*100</f>
        <v>4.8633020210140652</v>
      </c>
      <c r="H11" s="168">
        <v>1530908</v>
      </c>
      <c r="I11" s="175">
        <f t="shared" si="0"/>
        <v>-0.2840544556035457</v>
      </c>
      <c r="J11" s="168">
        <v>1632408</v>
      </c>
      <c r="K11" s="175">
        <f t="shared" si="0"/>
        <v>6.6300522304410192</v>
      </c>
    </row>
    <row r="12" spans="1:11" ht="24" customHeight="1" thickBot="1">
      <c r="A12" s="203" t="s">
        <v>264</v>
      </c>
      <c r="B12" s="169">
        <v>158758</v>
      </c>
      <c r="C12" s="175">
        <v>21.02855748852669</v>
      </c>
      <c r="D12" s="169">
        <v>130443</v>
      </c>
      <c r="E12" s="175">
        <f>(D12-B12)/B12*100</f>
        <v>-17.835321684576524</v>
      </c>
      <c r="F12" s="169">
        <v>130119</v>
      </c>
      <c r="G12" s="175">
        <f>(F12-D12)/D12*100</f>
        <v>-0.24838435178583751</v>
      </c>
      <c r="H12" s="169">
        <v>180286</v>
      </c>
      <c r="I12" s="175">
        <f t="shared" si="0"/>
        <v>38.554707613799678</v>
      </c>
      <c r="J12" s="169">
        <v>173768</v>
      </c>
      <c r="K12" s="175">
        <f t="shared" si="0"/>
        <v>-3.6153666951399446</v>
      </c>
    </row>
    <row r="13" spans="1:11" ht="6.75" customHeight="1">
      <c r="A13" s="182"/>
      <c r="B13" s="182"/>
      <c r="C13" s="182"/>
      <c r="D13" s="182"/>
      <c r="E13" s="182"/>
      <c r="F13" s="182"/>
      <c r="G13" s="182"/>
      <c r="H13" s="182"/>
      <c r="I13" s="182"/>
      <c r="J13" s="182"/>
      <c r="K13" s="182"/>
    </row>
    <row r="14" spans="1:11">
      <c r="A14" s="183" t="s">
        <v>294</v>
      </c>
      <c r="B14" s="176"/>
      <c r="C14" s="176"/>
      <c r="D14" s="176"/>
      <c r="E14" s="176"/>
      <c r="F14" s="176"/>
      <c r="G14" s="176"/>
      <c r="H14" s="176"/>
      <c r="I14" s="176"/>
      <c r="J14" s="176"/>
      <c r="K14" s="176"/>
    </row>
    <row r="15" spans="1:11">
      <c r="A15" s="183"/>
      <c r="B15" s="176"/>
      <c r="C15" s="176"/>
      <c r="D15" s="176"/>
      <c r="E15" s="176"/>
      <c r="F15" s="176"/>
      <c r="G15" s="176"/>
      <c r="H15" s="176"/>
      <c r="I15" s="176"/>
      <c r="J15" s="176"/>
      <c r="K15" s="176"/>
    </row>
    <row r="16" spans="1:11">
      <c r="A16" s="183"/>
    </row>
  </sheetData>
  <mergeCells count="6">
    <mergeCell ref="J3:J4"/>
    <mergeCell ref="A3:A4"/>
    <mergeCell ref="B3:B4"/>
    <mergeCell ref="D3:D4"/>
    <mergeCell ref="F3:F4"/>
    <mergeCell ref="H3:H4"/>
  </mergeCells>
  <phoneticPr fontId="2"/>
  <printOptions horizontalCentered="1"/>
  <pageMargins left="0.78740157480314965" right="0.78740157480314965" top="0.98425196850393704" bottom="0.47244094488188981" header="0.51181102362204722" footer="0.19685039370078741"/>
  <pageSetup paperSize="9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04C8-5B8B-4BCF-A083-5B0E376E1136}">
  <sheetPr codeName="Sheet1">
    <tabColor rgb="FFFFC000"/>
    <pageSetUpPr fitToPage="1"/>
  </sheetPr>
  <dimension ref="A1:L25"/>
  <sheetViews>
    <sheetView view="pageBreakPreview" zoomScaleNormal="100" zoomScaleSheetLayoutView="100" workbookViewId="0"/>
  </sheetViews>
  <sheetFormatPr defaultColWidth="9" defaultRowHeight="11"/>
  <cols>
    <col min="1" max="1" width="34.90625" style="2" customWidth="1"/>
    <col min="2" max="2" width="14.36328125" style="2" customWidth="1"/>
    <col min="3" max="3" width="9.26953125" style="2" customWidth="1"/>
    <col min="4" max="4" width="14.36328125" style="2" customWidth="1"/>
    <col min="5" max="5" width="9.26953125" style="2" customWidth="1"/>
    <col min="6" max="6" width="14.36328125" style="2" customWidth="1"/>
    <col min="7" max="7" width="9.26953125" style="2" customWidth="1"/>
    <col min="8" max="8" width="14.36328125" style="2" customWidth="1"/>
    <col min="9" max="9" width="9.26953125" style="2" customWidth="1"/>
    <col min="10" max="10" width="14.363281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2" ht="19">
      <c r="D1" s="1" t="s">
        <v>266</v>
      </c>
    </row>
    <row r="3" spans="1:12" ht="11.5" thickBot="1">
      <c r="K3" s="3" t="s">
        <v>3</v>
      </c>
    </row>
    <row r="4" spans="1:12" ht="12" customHeight="1" thickBot="1">
      <c r="A4" s="217" t="s">
        <v>253</v>
      </c>
      <c r="B4" s="217">
        <v>2017</v>
      </c>
      <c r="C4" s="159"/>
      <c r="D4" s="217">
        <v>2018</v>
      </c>
      <c r="E4" s="159"/>
      <c r="F4" s="217">
        <v>2019</v>
      </c>
      <c r="G4" s="159"/>
      <c r="H4" s="217">
        <v>2020</v>
      </c>
      <c r="I4" s="159"/>
      <c r="J4" s="217">
        <v>2021</v>
      </c>
      <c r="K4" s="159"/>
    </row>
    <row r="5" spans="1:12" ht="25" customHeight="1" thickBot="1">
      <c r="A5" s="218"/>
      <c r="B5" s="220"/>
      <c r="C5" s="4" t="s">
        <v>62</v>
      </c>
      <c r="D5" s="220"/>
      <c r="E5" s="4" t="s">
        <v>62</v>
      </c>
      <c r="F5" s="219"/>
      <c r="G5" s="4" t="s">
        <v>62</v>
      </c>
      <c r="H5" s="219"/>
      <c r="I5" s="4" t="s">
        <v>62</v>
      </c>
      <c r="J5" s="219"/>
      <c r="K5" s="4" t="s">
        <v>62</v>
      </c>
    </row>
    <row r="6" spans="1:12" ht="24" customHeight="1">
      <c r="A6" s="5" t="s">
        <v>64</v>
      </c>
      <c r="B6" s="6">
        <v>3117130.34</v>
      </c>
      <c r="C6" s="7">
        <v>100</v>
      </c>
      <c r="D6" s="6">
        <v>3144821.87</v>
      </c>
      <c r="E6" s="7">
        <v>100</v>
      </c>
      <c r="F6" s="6">
        <v>2946721.39</v>
      </c>
      <c r="G6" s="7">
        <v>100</v>
      </c>
      <c r="H6" s="6">
        <v>2733287.33</v>
      </c>
      <c r="I6" s="7">
        <v>100</v>
      </c>
      <c r="J6" s="6">
        <v>3000025.29</v>
      </c>
      <c r="K6" s="7">
        <v>100</v>
      </c>
      <c r="L6" s="194"/>
    </row>
    <row r="7" spans="1:12" ht="24" customHeight="1">
      <c r="A7" s="8" t="s">
        <v>65</v>
      </c>
      <c r="B7" s="6">
        <v>2064805.26</v>
      </c>
      <c r="C7" s="7">
        <v>66.2</v>
      </c>
      <c r="D7" s="6">
        <v>2086088.35</v>
      </c>
      <c r="E7" s="7">
        <v>66.334070298232803</v>
      </c>
      <c r="F7" s="6">
        <v>2022743.21</v>
      </c>
      <c r="G7" s="7">
        <v>68.643856757696298</v>
      </c>
      <c r="H7" s="6">
        <v>1954071.96</v>
      </c>
      <c r="I7" s="7">
        <v>71.491640800164205</v>
      </c>
      <c r="J7" s="6">
        <v>2065953.27</v>
      </c>
      <c r="K7" s="7">
        <v>68.900000000000006</v>
      </c>
      <c r="L7" s="194"/>
    </row>
    <row r="8" spans="1:12" ht="24" customHeight="1">
      <c r="A8" s="31" t="s">
        <v>66</v>
      </c>
      <c r="B8" s="6">
        <v>61994.09</v>
      </c>
      <c r="C8" s="7">
        <v>2</v>
      </c>
      <c r="D8" s="6">
        <v>64966.37</v>
      </c>
      <c r="E8" s="7">
        <v>2.0658203448578698</v>
      </c>
      <c r="F8" s="6">
        <v>56290.53</v>
      </c>
      <c r="G8" s="7">
        <v>1.91027662781515</v>
      </c>
      <c r="H8" s="6">
        <v>60123.45</v>
      </c>
      <c r="I8" s="7">
        <v>2.1996754362447501</v>
      </c>
      <c r="J8" s="6">
        <v>69228.56</v>
      </c>
      <c r="K8" s="7">
        <v>2.3075992136052901</v>
      </c>
      <c r="L8" s="194"/>
    </row>
    <row r="9" spans="1:12" ht="33" customHeight="1">
      <c r="A9" s="31" t="s">
        <v>67</v>
      </c>
      <c r="B9" s="32">
        <v>276194.71999999997</v>
      </c>
      <c r="C9" s="33">
        <v>8.9</v>
      </c>
      <c r="D9" s="32">
        <v>273142.98</v>
      </c>
      <c r="E9" s="33">
        <v>8.6854833529887596</v>
      </c>
      <c r="F9" s="32">
        <v>266094.59000000003</v>
      </c>
      <c r="G9" s="33">
        <v>9.1</v>
      </c>
      <c r="H9" s="32">
        <v>261616.23</v>
      </c>
      <c r="I9" s="33">
        <v>9.5714865805930405</v>
      </c>
      <c r="J9" s="32">
        <v>289541.67</v>
      </c>
      <c r="K9" s="33">
        <v>9.6</v>
      </c>
      <c r="L9" s="194"/>
    </row>
    <row r="10" spans="1:12" ht="24" customHeight="1">
      <c r="A10" s="8" t="s">
        <v>68</v>
      </c>
      <c r="B10" s="6">
        <v>101690.04</v>
      </c>
      <c r="C10" s="7">
        <v>3.3</v>
      </c>
      <c r="D10" s="6">
        <v>108295.38</v>
      </c>
      <c r="E10" s="7">
        <v>3.4436093513938801</v>
      </c>
      <c r="F10" s="6">
        <v>106257.17</v>
      </c>
      <c r="G10" s="7">
        <v>3.60594558958286</v>
      </c>
      <c r="H10" s="6">
        <v>101278.93</v>
      </c>
      <c r="I10" s="7">
        <v>3.70538907082264</v>
      </c>
      <c r="J10" s="6">
        <v>102374.52</v>
      </c>
      <c r="K10" s="7">
        <v>3.4124552330023801</v>
      </c>
      <c r="L10" s="194"/>
    </row>
    <row r="11" spans="1:12" ht="24" customHeight="1" thickBot="1">
      <c r="A11" s="8" t="s">
        <v>69</v>
      </c>
      <c r="B11" s="6">
        <v>612446.23</v>
      </c>
      <c r="C11" s="7">
        <v>19.600000000000001</v>
      </c>
      <c r="D11" s="6">
        <v>612328.79</v>
      </c>
      <c r="E11" s="7">
        <v>19.4710166525266</v>
      </c>
      <c r="F11" s="6">
        <v>495335.89</v>
      </c>
      <c r="G11" s="7">
        <v>16.8097293378659</v>
      </c>
      <c r="H11" s="6">
        <v>356196.76</v>
      </c>
      <c r="I11" s="7">
        <v>13.0318081121753</v>
      </c>
      <c r="J11" s="6">
        <v>472927.27</v>
      </c>
      <c r="K11" s="7">
        <v>15.7641094418907</v>
      </c>
      <c r="L11" s="194"/>
    </row>
    <row r="12" spans="1:12" ht="24" customHeight="1">
      <c r="A12" s="5" t="s">
        <v>70</v>
      </c>
      <c r="B12" s="35">
        <v>20.186800999999999</v>
      </c>
      <c r="C12" s="34"/>
      <c r="D12" s="35">
        <v>20.484617</v>
      </c>
      <c r="E12" s="34"/>
      <c r="F12" s="35">
        <v>19.884771000000001</v>
      </c>
      <c r="G12" s="34"/>
      <c r="H12" s="35">
        <v>20.061271999999999</v>
      </c>
      <c r="I12" s="34"/>
      <c r="J12" s="35">
        <v>20.720012000000001</v>
      </c>
      <c r="K12" s="34"/>
      <c r="L12" s="194"/>
    </row>
    <row r="13" spans="1:12" ht="24" customHeight="1" thickBot="1">
      <c r="A13" s="14" t="s">
        <v>71</v>
      </c>
      <c r="B13" s="36">
        <v>738.57546300000001</v>
      </c>
      <c r="C13" s="153"/>
      <c r="D13" s="36">
        <v>730.14371900000003</v>
      </c>
      <c r="E13" s="153"/>
      <c r="F13" s="36">
        <v>714.736178</v>
      </c>
      <c r="G13" s="199"/>
      <c r="H13" s="36">
        <v>688.14914699999997</v>
      </c>
      <c r="I13" s="199"/>
      <c r="J13" s="36">
        <v>721.62674500000003</v>
      </c>
      <c r="K13" s="199"/>
      <c r="L13" s="195"/>
    </row>
    <row r="14" spans="1:12" ht="11.9" customHeight="1">
      <c r="A14" s="20"/>
      <c r="B14" s="17"/>
      <c r="D14" s="18"/>
      <c r="F14" s="18"/>
      <c r="H14" s="18"/>
      <c r="J14" s="18"/>
    </row>
    <row r="15" spans="1:12" s="20" customFormat="1" ht="11.9" customHeight="1">
      <c r="A15" s="20" t="s">
        <v>72</v>
      </c>
      <c r="B15" s="17"/>
      <c r="C15" s="2"/>
      <c r="D15" s="18"/>
      <c r="E15" s="2"/>
      <c r="F15" s="18"/>
      <c r="G15" s="2"/>
      <c r="H15" s="18"/>
      <c r="I15" s="2"/>
      <c r="J15" s="18"/>
      <c r="K15" s="2"/>
    </row>
    <row r="16" spans="1:12" s="20" customFormat="1" ht="11.9" customHeight="1">
      <c r="A16" s="20" t="s">
        <v>73</v>
      </c>
      <c r="B16" s="17"/>
      <c r="C16" s="2"/>
      <c r="D16" s="18"/>
      <c r="E16" s="2"/>
      <c r="F16" s="18"/>
      <c r="G16" s="2"/>
      <c r="H16" s="18"/>
      <c r="I16" s="2"/>
      <c r="J16" s="18"/>
      <c r="K16" s="2"/>
    </row>
    <row r="17" spans="1:11" s="20" customFormat="1" ht="11.9" customHeight="1">
      <c r="A17" s="37" t="s">
        <v>245</v>
      </c>
      <c r="B17" s="18"/>
      <c r="C17" s="38"/>
      <c r="D17" s="18"/>
      <c r="E17" s="2"/>
      <c r="F17" s="18"/>
      <c r="G17" s="2"/>
      <c r="H17" s="18"/>
      <c r="I17" s="2"/>
      <c r="J17" s="18"/>
      <c r="K17" s="2"/>
    </row>
    <row r="18" spans="1:11" s="20" customFormat="1" ht="11.9" customHeight="1">
      <c r="A18" s="20" t="s">
        <v>246</v>
      </c>
      <c r="B18" s="17"/>
      <c r="C18" s="2"/>
      <c r="D18" s="18"/>
      <c r="E18" s="2"/>
      <c r="F18" s="18"/>
      <c r="G18" s="2"/>
      <c r="H18" s="18"/>
      <c r="I18" s="2"/>
      <c r="J18" s="18"/>
      <c r="K18" s="2"/>
    </row>
    <row r="19" spans="1:11" s="20" customFormat="1" ht="11.9" customHeight="1">
      <c r="A19" s="232" t="s">
        <v>247</v>
      </c>
      <c r="B19" s="39" t="s">
        <v>74</v>
      </c>
      <c r="C19" s="235" t="s">
        <v>75</v>
      </c>
      <c r="D19" s="18"/>
      <c r="E19" s="2"/>
      <c r="F19" s="18"/>
      <c r="G19" s="2"/>
      <c r="H19" s="18"/>
      <c r="I19" s="2"/>
      <c r="J19" s="18"/>
      <c r="K19" s="2"/>
    </row>
    <row r="20" spans="1:11" s="20" customFormat="1" ht="11.9" customHeight="1">
      <c r="A20" s="232"/>
      <c r="B20" s="18" t="s">
        <v>76</v>
      </c>
      <c r="C20" s="235"/>
      <c r="D20" s="18"/>
      <c r="E20" s="2"/>
      <c r="F20" s="18"/>
      <c r="G20" s="2"/>
      <c r="H20" s="18"/>
      <c r="I20" s="2"/>
      <c r="J20" s="18"/>
      <c r="K20" s="2"/>
    </row>
    <row r="21" spans="1:11" s="20" customFormat="1" ht="11.9" customHeight="1">
      <c r="A21" s="232" t="s">
        <v>248</v>
      </c>
      <c r="B21" s="233" t="s">
        <v>77</v>
      </c>
      <c r="C21" s="233"/>
      <c r="D21" s="18"/>
      <c r="E21" s="2"/>
      <c r="F21" s="18"/>
      <c r="G21" s="2"/>
      <c r="H21" s="18"/>
      <c r="I21" s="2"/>
      <c r="J21" s="18"/>
      <c r="K21" s="2"/>
    </row>
    <row r="22" spans="1:11" s="20" customFormat="1" ht="11.9" customHeight="1">
      <c r="A22" s="232"/>
      <c r="B22" s="234" t="s">
        <v>78</v>
      </c>
      <c r="C22" s="234"/>
      <c r="D22" s="18"/>
      <c r="E22" s="2"/>
      <c r="F22" s="18"/>
      <c r="G22" s="2"/>
      <c r="H22" s="18"/>
      <c r="I22" s="2"/>
      <c r="J22" s="18"/>
      <c r="K22" s="2"/>
    </row>
    <row r="23" spans="1:11" s="20" customFormat="1" ht="11.9" customHeight="1">
      <c r="A23" s="20" t="s">
        <v>315</v>
      </c>
      <c r="B23" s="18"/>
      <c r="C23" s="18"/>
      <c r="D23" s="18"/>
      <c r="E23" s="2"/>
      <c r="F23" s="18"/>
      <c r="G23" s="2"/>
      <c r="H23" s="18"/>
      <c r="I23" s="2"/>
      <c r="J23" s="18"/>
      <c r="K23" s="2"/>
    </row>
    <row r="24" spans="1:11">
      <c r="A24" s="222"/>
      <c r="B24" s="222"/>
      <c r="C24" s="222"/>
      <c r="D24" s="222"/>
      <c r="E24" s="222"/>
      <c r="F24" s="222"/>
      <c r="G24" s="222"/>
      <c r="H24" s="222"/>
      <c r="I24" s="222"/>
      <c r="J24" s="222"/>
      <c r="K24" s="222"/>
    </row>
    <row r="25" spans="1:11">
      <c r="A25" s="20"/>
      <c r="B25" s="18"/>
      <c r="C25" s="18"/>
      <c r="D25" s="18"/>
      <c r="F25" s="18"/>
    </row>
  </sheetData>
  <mergeCells count="12">
    <mergeCell ref="A24:K24"/>
    <mergeCell ref="H4:H5"/>
    <mergeCell ref="J4:J5"/>
    <mergeCell ref="A21:A22"/>
    <mergeCell ref="B21:C21"/>
    <mergeCell ref="B22:C22"/>
    <mergeCell ref="A19:A20"/>
    <mergeCell ref="C19:C20"/>
    <mergeCell ref="A4:A5"/>
    <mergeCell ref="F4:F5"/>
    <mergeCell ref="D4:D5"/>
    <mergeCell ref="B4:B5"/>
  </mergeCells>
  <phoneticPr fontId="2"/>
  <printOptions horizontalCentered="1"/>
  <pageMargins left="0.78740157480314965" right="0.78740157480314965" top="0.98425196850393704" bottom="0.47244094488188981" header="0.51181102362204722" footer="0.19685039370078741"/>
  <pageSetup paperSize="9" scale="86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5DE5-74BC-4393-9414-8C41FFFAC635}">
  <sheetPr codeName="Sheet7">
    <tabColor rgb="FFFFC000"/>
    <pageSetUpPr fitToPage="1"/>
  </sheetPr>
  <dimension ref="A1:K47"/>
  <sheetViews>
    <sheetView view="pageBreakPreview" zoomScaleNormal="100" zoomScaleSheetLayoutView="100" workbookViewId="0"/>
  </sheetViews>
  <sheetFormatPr defaultColWidth="9" defaultRowHeight="11"/>
  <cols>
    <col min="1" max="1" width="57" style="2" customWidth="1"/>
    <col min="2" max="2" width="17.7265625" style="2" customWidth="1"/>
    <col min="3" max="3" width="9.26953125" style="2" customWidth="1"/>
    <col min="4" max="4" width="17.7265625" style="2" customWidth="1"/>
    <col min="5" max="5" width="9.26953125" style="2" customWidth="1"/>
    <col min="6" max="6" width="17.7265625" style="2" customWidth="1"/>
    <col min="7" max="7" width="9.26953125" style="2" customWidth="1"/>
    <col min="8" max="8" width="17.7265625" style="2" customWidth="1"/>
    <col min="9" max="9" width="9.26953125" style="2" customWidth="1"/>
    <col min="10" max="10" width="17.72656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1" ht="19">
      <c r="D1" s="1" t="s">
        <v>267</v>
      </c>
    </row>
    <row r="3" spans="1:11" ht="11.5" thickBot="1">
      <c r="K3" s="3" t="s">
        <v>79</v>
      </c>
    </row>
    <row r="4" spans="1:11" ht="12" customHeight="1" thickBot="1">
      <c r="A4" s="217" t="s">
        <v>80</v>
      </c>
      <c r="B4" s="217">
        <v>2017</v>
      </c>
      <c r="C4" s="159"/>
      <c r="D4" s="217">
        <v>2018</v>
      </c>
      <c r="E4" s="159"/>
      <c r="F4" s="217">
        <v>2019</v>
      </c>
      <c r="G4" s="159"/>
      <c r="H4" s="217">
        <v>2020</v>
      </c>
      <c r="I4" s="159"/>
      <c r="J4" s="217">
        <v>2021</v>
      </c>
      <c r="K4" s="159"/>
    </row>
    <row r="5" spans="1:11" ht="25" customHeight="1" thickBot="1">
      <c r="A5" s="218"/>
      <c r="B5" s="220"/>
      <c r="C5" s="4" t="s">
        <v>7</v>
      </c>
      <c r="D5" s="220"/>
      <c r="E5" s="4" t="s">
        <v>7</v>
      </c>
      <c r="F5" s="219"/>
      <c r="G5" s="4" t="s">
        <v>7</v>
      </c>
      <c r="H5" s="219"/>
      <c r="I5" s="4" t="s">
        <v>81</v>
      </c>
      <c r="J5" s="219"/>
      <c r="K5" s="4" t="s">
        <v>7</v>
      </c>
    </row>
    <row r="6" spans="1:11" ht="12" customHeight="1">
      <c r="A6" s="239" t="s">
        <v>82</v>
      </c>
      <c r="B6" s="6">
        <v>454475.45</v>
      </c>
      <c r="C6" s="7">
        <v>5.84450674249626</v>
      </c>
      <c r="D6" s="6">
        <v>491276.54</v>
      </c>
      <c r="E6" s="7">
        <v>8.0974868939565301</v>
      </c>
      <c r="F6" s="6">
        <v>440393.77</v>
      </c>
      <c r="G6" s="7">
        <v>-10.357256220702</v>
      </c>
      <c r="H6" s="6">
        <v>418314.1</v>
      </c>
      <c r="I6" s="7">
        <v>-5.0136199701462596</v>
      </c>
      <c r="J6" s="6">
        <v>456612.88</v>
      </c>
      <c r="K6" s="7">
        <v>9.1555077870910804</v>
      </c>
    </row>
    <row r="7" spans="1:11" ht="12" customHeight="1">
      <c r="A7" s="238"/>
      <c r="B7" s="161">
        <v>453528.7</v>
      </c>
      <c r="C7" s="197">
        <v>6.2406790000000001</v>
      </c>
      <c r="D7" s="161">
        <v>487356.05</v>
      </c>
      <c r="E7" s="198">
        <v>7.4587009999999996</v>
      </c>
      <c r="F7" s="161">
        <v>431977.54</v>
      </c>
      <c r="G7" s="198">
        <v>-11.363049999999999</v>
      </c>
      <c r="H7" s="161">
        <v>409784.53</v>
      </c>
      <c r="I7" s="198">
        <v>-5.1375380000000002</v>
      </c>
      <c r="J7" s="161">
        <v>447704.99</v>
      </c>
      <c r="K7" s="198">
        <v>9.2537559999999992</v>
      </c>
    </row>
    <row r="8" spans="1:11" ht="12" customHeight="1">
      <c r="A8" s="41"/>
      <c r="B8" s="6"/>
      <c r="C8" s="7"/>
      <c r="D8" s="6"/>
      <c r="E8" s="7"/>
      <c r="F8" s="6"/>
      <c r="G8" s="7"/>
      <c r="H8" s="6"/>
      <c r="I8" s="7"/>
      <c r="J8" s="6"/>
      <c r="K8" s="7"/>
    </row>
    <row r="9" spans="1:11" ht="12" customHeight="1">
      <c r="A9" s="237" t="s">
        <v>83</v>
      </c>
      <c r="B9" s="6">
        <v>151139.59</v>
      </c>
      <c r="C9" s="7">
        <v>4.42816992417709</v>
      </c>
      <c r="D9" s="6">
        <v>160947.37</v>
      </c>
      <c r="E9" s="7">
        <v>6.4892196677256999</v>
      </c>
      <c r="F9" s="6">
        <v>153541.95000000001</v>
      </c>
      <c r="G9" s="7">
        <v>-4.6011438397533304</v>
      </c>
      <c r="H9" s="6">
        <v>135413.41</v>
      </c>
      <c r="I9" s="7">
        <v>-11.8068970727543</v>
      </c>
      <c r="J9" s="6">
        <v>143036.76999999999</v>
      </c>
      <c r="K9" s="7">
        <v>5.6296935436453399</v>
      </c>
    </row>
    <row r="10" spans="1:11" ht="12" customHeight="1">
      <c r="A10" s="237"/>
      <c r="B10" s="162">
        <v>150597.29</v>
      </c>
      <c r="C10" s="197">
        <v>4.3830439999999999</v>
      </c>
      <c r="D10" s="162">
        <v>159978.98000000001</v>
      </c>
      <c r="E10" s="198">
        <v>6.229654</v>
      </c>
      <c r="F10" s="162">
        <v>151726.31</v>
      </c>
      <c r="G10" s="198">
        <v>-5.1585960000000002</v>
      </c>
      <c r="H10" s="162">
        <v>133788.26999999999</v>
      </c>
      <c r="I10" s="198">
        <v>-11.82263</v>
      </c>
      <c r="J10" s="162">
        <v>139722.51</v>
      </c>
      <c r="K10" s="198">
        <v>4.4355460000000004</v>
      </c>
    </row>
    <row r="11" spans="1:11" ht="24" customHeight="1">
      <c r="A11" s="8" t="s">
        <v>84</v>
      </c>
      <c r="B11" s="6">
        <v>16511.86</v>
      </c>
      <c r="C11" s="7">
        <v>14.3874311310748</v>
      </c>
      <c r="D11" s="6">
        <v>16570.099999999999</v>
      </c>
      <c r="E11" s="7">
        <v>0.352716168862865</v>
      </c>
      <c r="F11" s="6">
        <v>15149.22</v>
      </c>
      <c r="G11" s="7">
        <v>-8.5749633375779197</v>
      </c>
      <c r="H11" s="6">
        <v>11838.83</v>
      </c>
      <c r="I11" s="7">
        <v>-21.851884123407</v>
      </c>
      <c r="J11" s="6">
        <v>10573.39</v>
      </c>
      <c r="K11" s="7">
        <v>-10.688894088351599</v>
      </c>
    </row>
    <row r="12" spans="1:11" ht="24" customHeight="1">
      <c r="A12" s="8" t="s">
        <v>85</v>
      </c>
      <c r="B12" s="6">
        <v>17185.8</v>
      </c>
      <c r="C12" s="7">
        <v>-4.7279036956756704</v>
      </c>
      <c r="D12" s="6">
        <v>19298.46</v>
      </c>
      <c r="E12" s="7">
        <v>12.293055894983</v>
      </c>
      <c r="F12" s="6">
        <v>21821.47</v>
      </c>
      <c r="G12" s="7">
        <v>13.073633854722001</v>
      </c>
      <c r="H12" s="6">
        <v>18930.86</v>
      </c>
      <c r="I12" s="7">
        <v>-13.2466327887168</v>
      </c>
      <c r="J12" s="6">
        <v>19629</v>
      </c>
      <c r="K12" s="7">
        <v>3.6878409116120401</v>
      </c>
    </row>
    <row r="13" spans="1:11" ht="24" customHeight="1">
      <c r="A13" s="8" t="s">
        <v>86</v>
      </c>
      <c r="B13" s="6">
        <v>1320.09</v>
      </c>
      <c r="C13" s="7">
        <v>-12.166154337498501</v>
      </c>
      <c r="D13" s="6">
        <v>2478.69</v>
      </c>
      <c r="E13" s="7">
        <v>87.766743176601494</v>
      </c>
      <c r="F13" s="6">
        <v>2748.23</v>
      </c>
      <c r="G13" s="7">
        <v>10.8742924690058</v>
      </c>
      <c r="H13" s="6">
        <v>1889.08</v>
      </c>
      <c r="I13" s="7">
        <v>-31.261939502880001</v>
      </c>
      <c r="J13" s="6">
        <v>1649.24</v>
      </c>
      <c r="K13" s="7">
        <v>-12.696127215363999</v>
      </c>
    </row>
    <row r="14" spans="1:11" ht="24" customHeight="1">
      <c r="A14" s="8" t="s">
        <v>87</v>
      </c>
      <c r="B14" s="6">
        <v>9143.26</v>
      </c>
      <c r="C14" s="7">
        <v>8.4981684112346905</v>
      </c>
      <c r="D14" s="6">
        <v>10722.28</v>
      </c>
      <c r="E14" s="7">
        <v>17.269770300746099</v>
      </c>
      <c r="F14" s="6">
        <v>3982.54</v>
      </c>
      <c r="G14" s="7">
        <v>-62.857340043348898</v>
      </c>
      <c r="H14" s="6">
        <v>9901.2900000000009</v>
      </c>
      <c r="I14" s="7">
        <v>148.617465235754</v>
      </c>
      <c r="J14" s="6">
        <v>8251.9599999999991</v>
      </c>
      <c r="K14" s="7">
        <v>-16.657728437405598</v>
      </c>
    </row>
    <row r="15" spans="1:11" ht="24" customHeight="1">
      <c r="A15" s="8" t="s">
        <v>88</v>
      </c>
      <c r="B15" s="6">
        <v>8336.64</v>
      </c>
      <c r="C15" s="7">
        <v>20.389734732573601</v>
      </c>
      <c r="D15" s="6">
        <v>7928.78</v>
      </c>
      <c r="E15" s="7">
        <v>-4.8923787041302003</v>
      </c>
      <c r="F15" s="6">
        <v>8132.98</v>
      </c>
      <c r="G15" s="7">
        <v>2.5754277455043502</v>
      </c>
      <c r="H15" s="6">
        <v>5718.24</v>
      </c>
      <c r="I15" s="7">
        <v>-29.6907160720916</v>
      </c>
      <c r="J15" s="6">
        <v>6250.8</v>
      </c>
      <c r="K15" s="7">
        <v>9.3133551582305003</v>
      </c>
    </row>
    <row r="16" spans="1:11" ht="24" customHeight="1">
      <c r="A16" s="8" t="s">
        <v>220</v>
      </c>
      <c r="B16" s="6">
        <v>2378.4699999999998</v>
      </c>
      <c r="C16" s="7">
        <v>-0.40199826638247599</v>
      </c>
      <c r="D16" s="6">
        <v>2459.48</v>
      </c>
      <c r="E16" s="7">
        <v>3.4059710654328201</v>
      </c>
      <c r="F16" s="6">
        <v>2721.1</v>
      </c>
      <c r="G16" s="7">
        <v>10.6372078650771</v>
      </c>
      <c r="H16" s="6">
        <v>1901.03</v>
      </c>
      <c r="I16" s="7">
        <v>-30.1374444158612</v>
      </c>
      <c r="J16" s="6">
        <v>2691.11</v>
      </c>
      <c r="K16" s="7">
        <v>41.560627659742302</v>
      </c>
    </row>
    <row r="17" spans="1:11" ht="24" customHeight="1">
      <c r="A17" s="8" t="s">
        <v>221</v>
      </c>
      <c r="B17" s="6">
        <v>6939.95</v>
      </c>
      <c r="C17" s="7">
        <v>-9.0760805481677505</v>
      </c>
      <c r="D17" s="6">
        <v>8808.07</v>
      </c>
      <c r="E17" s="7">
        <v>26.918349555832499</v>
      </c>
      <c r="F17" s="6">
        <v>8788.2199999999993</v>
      </c>
      <c r="G17" s="7">
        <v>-0.225361515065161</v>
      </c>
      <c r="H17" s="6">
        <v>5086.7299999999996</v>
      </c>
      <c r="I17" s="7">
        <v>-42.118768078177297</v>
      </c>
      <c r="J17" s="6">
        <v>8545.4</v>
      </c>
      <c r="K17" s="7">
        <v>67.993976483910004</v>
      </c>
    </row>
    <row r="18" spans="1:11" ht="24" customHeight="1">
      <c r="A18" s="8" t="s">
        <v>222</v>
      </c>
      <c r="B18" s="6">
        <v>3944.17</v>
      </c>
      <c r="C18" s="7">
        <v>-20.843827830704601</v>
      </c>
      <c r="D18" s="6">
        <v>5200.75</v>
      </c>
      <c r="E18" s="7">
        <v>31.8591744270657</v>
      </c>
      <c r="F18" s="6">
        <v>4727.79</v>
      </c>
      <c r="G18" s="7">
        <v>-9.0940729702446692</v>
      </c>
      <c r="H18" s="6">
        <v>3658.97</v>
      </c>
      <c r="I18" s="7">
        <v>-22.607180098946799</v>
      </c>
      <c r="J18" s="6">
        <v>3553.68</v>
      </c>
      <c r="K18" s="7">
        <v>-2.8775857686726001</v>
      </c>
    </row>
    <row r="19" spans="1:11" ht="24" customHeight="1">
      <c r="A19" s="8" t="s">
        <v>89</v>
      </c>
      <c r="B19" s="6">
        <v>13149.51</v>
      </c>
      <c r="C19" s="7">
        <v>24.967901534929101</v>
      </c>
      <c r="D19" s="6">
        <v>11544.7</v>
      </c>
      <c r="E19" s="7">
        <v>-12.2043330892177</v>
      </c>
      <c r="F19" s="6">
        <v>11598.01</v>
      </c>
      <c r="G19" s="7">
        <v>0.46177033617157598</v>
      </c>
      <c r="H19" s="6">
        <v>8169.88</v>
      </c>
      <c r="I19" s="7">
        <v>-29.557915538958799</v>
      </c>
      <c r="J19" s="6">
        <v>7560.16</v>
      </c>
      <c r="K19" s="7">
        <v>-7.4630227126959001</v>
      </c>
    </row>
    <row r="20" spans="1:11" ht="24" customHeight="1">
      <c r="A20" s="8" t="s">
        <v>90</v>
      </c>
      <c r="B20" s="6">
        <v>16261.63</v>
      </c>
      <c r="C20" s="7">
        <v>1.6094041137061399</v>
      </c>
      <c r="D20" s="6">
        <v>19201.55</v>
      </c>
      <c r="E20" s="7">
        <v>18.0788764717928</v>
      </c>
      <c r="F20" s="6">
        <v>17145.79</v>
      </c>
      <c r="G20" s="7">
        <v>-10.7062190291929</v>
      </c>
      <c r="H20" s="6">
        <v>15052.08</v>
      </c>
      <c r="I20" s="7">
        <v>-12.211219197248999</v>
      </c>
      <c r="J20" s="6">
        <v>17714.05</v>
      </c>
      <c r="K20" s="7">
        <v>17.685064124027999</v>
      </c>
    </row>
    <row r="21" spans="1:11" ht="24" customHeight="1">
      <c r="A21" s="8" t="s">
        <v>91</v>
      </c>
      <c r="B21" s="6">
        <v>26103.18</v>
      </c>
      <c r="C21" s="7">
        <v>-5.4326833377109098</v>
      </c>
      <c r="D21" s="6">
        <v>28890.66</v>
      </c>
      <c r="E21" s="7">
        <v>10.6786989171434</v>
      </c>
      <c r="F21" s="6">
        <v>28402.799999999999</v>
      </c>
      <c r="G21" s="7">
        <v>-1.68864262706355</v>
      </c>
      <c r="H21" s="6">
        <v>25312.57</v>
      </c>
      <c r="I21" s="7">
        <v>-10.8800188713788</v>
      </c>
      <c r="J21" s="6">
        <v>25824.55</v>
      </c>
      <c r="K21" s="7">
        <v>2.0226314435871098</v>
      </c>
    </row>
    <row r="22" spans="1:11" ht="24" customHeight="1">
      <c r="A22" s="8"/>
      <c r="B22" s="6"/>
      <c r="C22" s="7"/>
      <c r="D22" s="6"/>
      <c r="E22" s="7"/>
      <c r="F22" s="6"/>
      <c r="G22" s="7"/>
      <c r="H22" s="6"/>
      <c r="I22" s="7"/>
      <c r="J22" s="6"/>
      <c r="K22" s="7"/>
    </row>
    <row r="23" spans="1:11" ht="12" customHeight="1">
      <c r="A23" s="237" t="s">
        <v>92</v>
      </c>
      <c r="B23" s="6">
        <v>303335.86</v>
      </c>
      <c r="C23" s="7">
        <v>6.5646460374688003</v>
      </c>
      <c r="D23" s="6">
        <v>330329.17</v>
      </c>
      <c r="E23" s="7">
        <v>8.8988192823624601</v>
      </c>
      <c r="F23" s="6">
        <v>286851.82</v>
      </c>
      <c r="G23" s="7">
        <v>-13.161825823617001</v>
      </c>
      <c r="H23" s="6">
        <v>282900.69</v>
      </c>
      <c r="I23" s="7">
        <v>-1.37741151511606</v>
      </c>
      <c r="J23" s="6">
        <v>313576.11</v>
      </c>
      <c r="K23" s="7">
        <v>10.843176098297899</v>
      </c>
    </row>
    <row r="24" spans="1:11" ht="12" customHeight="1">
      <c r="A24" s="238"/>
      <c r="B24" s="162">
        <v>302931.40999999997</v>
      </c>
      <c r="C24" s="197">
        <v>7.1889960000000004</v>
      </c>
      <c r="D24" s="162">
        <v>327377.07</v>
      </c>
      <c r="E24" s="198">
        <v>8.0697010000000002</v>
      </c>
      <c r="F24" s="162">
        <v>280251.23</v>
      </c>
      <c r="G24" s="198">
        <v>-14.394973</v>
      </c>
      <c r="H24" s="162">
        <v>275996.26</v>
      </c>
      <c r="I24" s="198">
        <v>-1.51827</v>
      </c>
      <c r="J24" s="162">
        <v>307982.48</v>
      </c>
      <c r="K24" s="198">
        <v>11.589366999999999</v>
      </c>
    </row>
    <row r="25" spans="1:11" ht="24" customHeight="1">
      <c r="A25" s="8" t="s">
        <v>93</v>
      </c>
      <c r="B25" s="6">
        <v>27182.240000000002</v>
      </c>
      <c r="C25" s="7">
        <v>32.368167446055097</v>
      </c>
      <c r="D25" s="6">
        <v>26707.19</v>
      </c>
      <c r="E25" s="7">
        <v>-1.7476484645857</v>
      </c>
      <c r="F25" s="6">
        <v>23733.040000000001</v>
      </c>
      <c r="G25" s="7">
        <v>-11.136139743642</v>
      </c>
      <c r="H25" s="6">
        <v>24844.98</v>
      </c>
      <c r="I25" s="7">
        <v>4.6851983563841797</v>
      </c>
      <c r="J25" s="6">
        <v>25857.94</v>
      </c>
      <c r="K25" s="7">
        <v>4.07712141446682</v>
      </c>
    </row>
    <row r="26" spans="1:11" ht="24" customHeight="1">
      <c r="A26" s="8" t="s">
        <v>94</v>
      </c>
      <c r="B26" s="6">
        <v>58703.92</v>
      </c>
      <c r="C26" s="7">
        <v>1.6949352201479</v>
      </c>
      <c r="D26" s="6">
        <v>50549.17</v>
      </c>
      <c r="E26" s="7">
        <v>-13.8913210565836</v>
      </c>
      <c r="F26" s="6">
        <v>55704.2</v>
      </c>
      <c r="G26" s="7">
        <v>10.1980507296163</v>
      </c>
      <c r="H26" s="6">
        <v>52026</v>
      </c>
      <c r="I26" s="7">
        <v>-6.60309276499797</v>
      </c>
      <c r="J26" s="6">
        <v>56152.959999999999</v>
      </c>
      <c r="K26" s="7">
        <v>7.9324952908161297</v>
      </c>
    </row>
    <row r="27" spans="1:11" ht="24" customHeight="1">
      <c r="A27" s="8" t="s">
        <v>95</v>
      </c>
      <c r="B27" s="6">
        <v>32390.77</v>
      </c>
      <c r="C27" s="7">
        <v>5.9043457022788601</v>
      </c>
      <c r="D27" s="6">
        <v>52563.43</v>
      </c>
      <c r="E27" s="7">
        <v>62.279038133394103</v>
      </c>
      <c r="F27" s="6">
        <v>40619.019999999997</v>
      </c>
      <c r="G27" s="7">
        <v>-22.7238024611407</v>
      </c>
      <c r="H27" s="6">
        <v>36693.760000000002</v>
      </c>
      <c r="I27" s="7">
        <v>-9.6636009435973502</v>
      </c>
      <c r="J27" s="6">
        <v>37970.03</v>
      </c>
      <c r="K27" s="7">
        <v>3.47816631492657</v>
      </c>
    </row>
    <row r="28" spans="1:11" ht="24" customHeight="1">
      <c r="A28" s="8" t="s">
        <v>96</v>
      </c>
      <c r="B28" s="6">
        <v>18214.25</v>
      </c>
      <c r="C28" s="7">
        <v>-12.2104971938977</v>
      </c>
      <c r="D28" s="6">
        <v>19096.16</v>
      </c>
      <c r="E28" s="7">
        <v>4.8418683173888502</v>
      </c>
      <c r="F28" s="6">
        <v>17943.310000000001</v>
      </c>
      <c r="G28" s="7">
        <v>-6.0370776114150599</v>
      </c>
      <c r="H28" s="6">
        <v>16607.54</v>
      </c>
      <c r="I28" s="7">
        <v>-7.4443901376056001</v>
      </c>
      <c r="J28" s="6">
        <v>17983.64</v>
      </c>
      <c r="K28" s="7">
        <v>8.2859953972713498</v>
      </c>
    </row>
    <row r="29" spans="1:11" ht="24" customHeight="1">
      <c r="A29" s="8" t="s">
        <v>97</v>
      </c>
      <c r="B29" s="6">
        <v>35318.18</v>
      </c>
      <c r="C29" s="7">
        <v>6.3881034379406296</v>
      </c>
      <c r="D29" s="6">
        <v>40867.68</v>
      </c>
      <c r="E29" s="7">
        <v>15.7128708217694</v>
      </c>
      <c r="F29" s="6">
        <v>34153.300000000003</v>
      </c>
      <c r="G29" s="7">
        <v>-16.429559984809501</v>
      </c>
      <c r="H29" s="6">
        <v>46214.61</v>
      </c>
      <c r="I29" s="7">
        <v>35.3152111216192</v>
      </c>
      <c r="J29" s="6">
        <v>48669.33</v>
      </c>
      <c r="K29" s="7">
        <v>5.3115670563919002</v>
      </c>
    </row>
    <row r="30" spans="1:11" ht="24" customHeight="1">
      <c r="A30" s="8" t="s">
        <v>98</v>
      </c>
      <c r="B30" s="6">
        <v>46507.58</v>
      </c>
      <c r="C30" s="7">
        <v>1.7284010026816901</v>
      </c>
      <c r="D30" s="6">
        <v>58072.35</v>
      </c>
      <c r="E30" s="7">
        <v>24.866419624499901</v>
      </c>
      <c r="F30" s="6">
        <v>49313.26</v>
      </c>
      <c r="G30" s="7">
        <v>-15.0830644876606</v>
      </c>
      <c r="H30" s="6">
        <v>41082.620000000003</v>
      </c>
      <c r="I30" s="7">
        <v>-16.690520967382799</v>
      </c>
      <c r="J30" s="6">
        <v>42318.17</v>
      </c>
      <c r="K30" s="7">
        <v>3.0074761541498498</v>
      </c>
    </row>
    <row r="31" spans="1:11" ht="24" customHeight="1">
      <c r="A31" s="8" t="s">
        <v>99</v>
      </c>
      <c r="B31" s="6">
        <v>23584.53</v>
      </c>
      <c r="C31" s="7">
        <v>15.658632273251101</v>
      </c>
      <c r="D31" s="6">
        <v>27608.66</v>
      </c>
      <c r="E31" s="7">
        <v>17.062582972821499</v>
      </c>
      <c r="F31" s="6">
        <v>20519.97</v>
      </c>
      <c r="G31" s="7">
        <v>-25.675603234637201</v>
      </c>
      <c r="H31" s="6">
        <v>19409.490000000002</v>
      </c>
      <c r="I31" s="7">
        <v>-5.4117038182804302</v>
      </c>
      <c r="J31" s="6">
        <v>26850.69</v>
      </c>
      <c r="K31" s="7">
        <v>38.337947055795901</v>
      </c>
    </row>
    <row r="32" spans="1:11" ht="24" customHeight="1">
      <c r="A32" s="8" t="s">
        <v>100</v>
      </c>
      <c r="B32" s="6">
        <v>50438.43</v>
      </c>
      <c r="C32" s="7">
        <v>9.9775459155283297</v>
      </c>
      <c r="D32" s="6">
        <v>45023.72</v>
      </c>
      <c r="E32" s="7">
        <v>-10.7352865662154</v>
      </c>
      <c r="F32" s="6">
        <v>35933.32</v>
      </c>
      <c r="G32" s="7">
        <v>-20.190246385682901</v>
      </c>
      <c r="H32" s="6">
        <v>38231.78</v>
      </c>
      <c r="I32" s="7">
        <v>6.3964587741961996</v>
      </c>
      <c r="J32" s="6">
        <v>49315.01</v>
      </c>
      <c r="K32" s="7">
        <v>28.989573595579301</v>
      </c>
    </row>
    <row r="33" spans="1:11" ht="12" customHeight="1" thickBot="1">
      <c r="A33" s="8"/>
      <c r="B33" s="6"/>
      <c r="C33" s="7"/>
      <c r="D33" s="6"/>
      <c r="E33" s="16"/>
      <c r="F33" s="6"/>
      <c r="G33" s="16"/>
      <c r="H33" s="6"/>
      <c r="I33" s="16"/>
      <c r="J33" s="6"/>
      <c r="K33" s="16"/>
    </row>
    <row r="34" spans="1:11" ht="24" customHeight="1">
      <c r="A34" s="5" t="s">
        <v>101</v>
      </c>
      <c r="B34" s="12"/>
      <c r="C34" s="13"/>
      <c r="D34" s="12"/>
      <c r="E34" s="13"/>
      <c r="F34" s="12"/>
      <c r="G34" s="13"/>
      <c r="H34" s="12"/>
      <c r="I34" s="13"/>
      <c r="J34" s="12"/>
      <c r="K34" s="13"/>
    </row>
    <row r="35" spans="1:11" ht="24" customHeight="1">
      <c r="A35" s="8" t="s">
        <v>102</v>
      </c>
      <c r="B35" s="6">
        <v>212560.22</v>
      </c>
      <c r="C35" s="7">
        <v>7.0634935825434697</v>
      </c>
      <c r="D35" s="6">
        <v>249987.65</v>
      </c>
      <c r="E35" s="7">
        <v>17.607918358383301</v>
      </c>
      <c r="F35" s="6">
        <v>219253.09</v>
      </c>
      <c r="G35" s="7">
        <v>-12.2944313449084</v>
      </c>
      <c r="H35" s="6">
        <v>212941.53</v>
      </c>
      <c r="I35" s="7">
        <v>-2.8786641045743</v>
      </c>
      <c r="J35" s="6">
        <v>218121.17</v>
      </c>
      <c r="K35" s="7">
        <v>2.4324235859486798</v>
      </c>
    </row>
    <row r="36" spans="1:11" ht="24" customHeight="1">
      <c r="A36" s="8" t="s">
        <v>103</v>
      </c>
      <c r="B36" s="6">
        <v>70169.53</v>
      </c>
      <c r="C36" s="164">
        <v>6.7244293505249404</v>
      </c>
      <c r="D36" s="6">
        <v>72476.479999999996</v>
      </c>
      <c r="E36" s="164">
        <v>3.2876805644843201</v>
      </c>
      <c r="F36" s="6">
        <v>71552.210000000006</v>
      </c>
      <c r="G36" s="200">
        <v>-1.2752688872307201</v>
      </c>
      <c r="H36" s="6">
        <v>66596.070000000007</v>
      </c>
      <c r="I36" s="200">
        <v>-6.9266064598144403</v>
      </c>
      <c r="J36" s="6">
        <v>73904.56</v>
      </c>
      <c r="K36" s="200">
        <v>10.974356294598101</v>
      </c>
    </row>
    <row r="37" spans="1:11" ht="24" customHeight="1">
      <c r="A37" s="8" t="s">
        <v>104</v>
      </c>
      <c r="B37" s="6">
        <v>137294.41</v>
      </c>
      <c r="C37" s="7">
        <v>2.67309402972406</v>
      </c>
      <c r="D37" s="6">
        <v>127994.14</v>
      </c>
      <c r="E37" s="7">
        <v>-6.7739611539901698</v>
      </c>
      <c r="F37" s="6">
        <v>110971.22</v>
      </c>
      <c r="G37" s="7">
        <v>-13.2997651298723</v>
      </c>
      <c r="H37" s="6">
        <v>103928.88</v>
      </c>
      <c r="I37" s="7">
        <v>-6.3460958616116798</v>
      </c>
      <c r="J37" s="6">
        <v>122121.32</v>
      </c>
      <c r="K37" s="7">
        <v>17.5047012918834</v>
      </c>
    </row>
    <row r="38" spans="1:11" ht="24" customHeight="1" thickBot="1">
      <c r="A38" s="14" t="s">
        <v>105</v>
      </c>
      <c r="B38" s="15">
        <v>34451.29</v>
      </c>
      <c r="C38" s="16">
        <v>9.8034734844899205</v>
      </c>
      <c r="D38" s="15">
        <v>40818.269999999997</v>
      </c>
      <c r="E38" s="16">
        <v>18.4811076740522</v>
      </c>
      <c r="F38" s="15">
        <v>38617.25</v>
      </c>
      <c r="G38" s="16">
        <v>-5.3922422483853403</v>
      </c>
      <c r="H38" s="15">
        <v>34847.620000000003</v>
      </c>
      <c r="I38" s="16">
        <v>-9.7615184923835798</v>
      </c>
      <c r="J38" s="15">
        <v>42465.83</v>
      </c>
      <c r="K38" s="16">
        <v>21.8614929800083</v>
      </c>
    </row>
    <row r="39" spans="1:11" ht="11.9" customHeight="1">
      <c r="A39" s="20"/>
      <c r="B39" s="18"/>
      <c r="D39" s="18"/>
      <c r="F39" s="18"/>
      <c r="H39" s="18"/>
      <c r="J39" s="18"/>
    </row>
    <row r="40" spans="1:11" ht="11.9" customHeight="1">
      <c r="A40" s="223" t="s">
        <v>106</v>
      </c>
      <c r="B40" s="223"/>
      <c r="C40" s="223"/>
      <c r="D40" s="223"/>
      <c r="E40" s="223"/>
      <c r="F40" s="223"/>
      <c r="G40" s="223"/>
      <c r="H40" s="223"/>
      <c r="I40" s="223"/>
      <c r="J40" s="223"/>
      <c r="K40" s="223"/>
    </row>
    <row r="41" spans="1:11" ht="13">
      <c r="A41" s="20" t="s">
        <v>307</v>
      </c>
      <c r="B41" s="193"/>
      <c r="C41" s="193"/>
      <c r="D41" s="193"/>
      <c r="E41" s="193"/>
      <c r="F41" s="193"/>
      <c r="G41" s="193"/>
      <c r="H41" s="193"/>
      <c r="I41" s="193"/>
      <c r="J41" s="193"/>
      <c r="K41" s="193"/>
    </row>
    <row r="42" spans="1:11" ht="13">
      <c r="A42" s="222" t="s">
        <v>316</v>
      </c>
      <c r="B42" s="236"/>
      <c r="C42" s="236"/>
      <c r="D42" s="236"/>
      <c r="E42" s="236"/>
      <c r="F42" s="236"/>
      <c r="G42" s="236"/>
      <c r="H42" s="236"/>
      <c r="I42" s="236"/>
      <c r="J42" s="236"/>
      <c r="K42" s="236"/>
    </row>
    <row r="43" spans="1:11">
      <c r="A43" s="20"/>
    </row>
    <row r="44" spans="1:11">
      <c r="A44" s="20" t="s">
        <v>305</v>
      </c>
    </row>
    <row r="45" spans="1:11">
      <c r="A45" s="20" t="s">
        <v>306</v>
      </c>
    </row>
    <row r="46" spans="1:11">
      <c r="A46" s="20"/>
    </row>
    <row r="47" spans="1:11">
      <c r="A47" s="20"/>
    </row>
  </sheetData>
  <mergeCells count="11">
    <mergeCell ref="A42:K42"/>
    <mergeCell ref="J4:J5"/>
    <mergeCell ref="H4:H5"/>
    <mergeCell ref="A23:A24"/>
    <mergeCell ref="A6:A7"/>
    <mergeCell ref="A9:A10"/>
    <mergeCell ref="A4:A5"/>
    <mergeCell ref="F4:F5"/>
    <mergeCell ref="D4:D5"/>
    <mergeCell ref="B4:B5"/>
    <mergeCell ref="A40:K40"/>
  </mergeCells>
  <phoneticPr fontId="2"/>
  <printOptions horizontalCentered="1"/>
  <pageMargins left="0.78740157480314965" right="0.78740157480314965" top="0.98425196850393704" bottom="0.47244094488188981" header="0.51181102362204722" footer="0.19685039370078741"/>
  <pageSetup paperSize="9" scale="62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1D8C-BCA2-4FDB-ABF6-DB5EBE84F74D}">
  <sheetPr codeName="Sheet2">
    <tabColor rgb="FFFFC000"/>
    <pageSetUpPr fitToPage="1"/>
  </sheetPr>
  <dimension ref="A1:F33"/>
  <sheetViews>
    <sheetView view="pageBreakPreview" zoomScaleNormal="100" zoomScaleSheetLayoutView="100" workbookViewId="0"/>
  </sheetViews>
  <sheetFormatPr defaultColWidth="9" defaultRowHeight="11"/>
  <cols>
    <col min="1" max="1" width="54.6328125" style="2" customWidth="1"/>
    <col min="2" max="6" width="22.7265625" style="2" customWidth="1"/>
    <col min="7" max="73" width="10.26953125" style="2" customWidth="1"/>
    <col min="74" max="16384" width="9" style="2"/>
  </cols>
  <sheetData>
    <row r="1" spans="1:6" ht="21" customHeight="1">
      <c r="B1" s="1" t="s">
        <v>268</v>
      </c>
    </row>
    <row r="3" spans="1:6" ht="11.5" thickBot="1">
      <c r="F3" s="3" t="s">
        <v>79</v>
      </c>
    </row>
    <row r="4" spans="1:6" ht="13.5" customHeight="1">
      <c r="A4" s="226" t="s">
        <v>107</v>
      </c>
      <c r="B4" s="240" t="s">
        <v>309</v>
      </c>
      <c r="C4" s="240" t="s">
        <v>310</v>
      </c>
      <c r="D4" s="240" t="s">
        <v>311</v>
      </c>
      <c r="E4" s="240" t="s">
        <v>312</v>
      </c>
      <c r="F4" s="240" t="s">
        <v>318</v>
      </c>
    </row>
    <row r="5" spans="1:6" ht="13.5" customHeight="1" thickBot="1">
      <c r="A5" s="227"/>
      <c r="B5" s="241"/>
      <c r="C5" s="241"/>
      <c r="D5" s="241"/>
      <c r="E5" s="241"/>
      <c r="F5" s="241"/>
    </row>
    <row r="6" spans="1:6" ht="24" customHeight="1">
      <c r="A6" s="5" t="s">
        <v>31</v>
      </c>
      <c r="B6" s="6">
        <v>69618.19</v>
      </c>
      <c r="C6" s="6">
        <v>46532.79</v>
      </c>
      <c r="D6" s="6">
        <v>20139.89</v>
      </c>
      <c r="E6" s="6">
        <v>-650.88</v>
      </c>
      <c r="F6" s="6">
        <v>95951.11</v>
      </c>
    </row>
    <row r="7" spans="1:6" ht="24" customHeight="1">
      <c r="A7" s="31" t="s">
        <v>229</v>
      </c>
      <c r="B7" s="6">
        <v>37973.14</v>
      </c>
      <c r="C7" s="6">
        <v>26249.98</v>
      </c>
      <c r="D7" s="6">
        <v>19419.38</v>
      </c>
      <c r="E7" s="6">
        <v>-6815.06</v>
      </c>
      <c r="F7" s="6">
        <v>38444.53</v>
      </c>
    </row>
    <row r="8" spans="1:6" ht="24" customHeight="1">
      <c r="A8" s="8" t="s">
        <v>230</v>
      </c>
      <c r="B8" s="6">
        <v>19618.009999999998</v>
      </c>
      <c r="C8" s="6">
        <v>9054.93</v>
      </c>
      <c r="D8" s="6">
        <v>5391.31</v>
      </c>
      <c r="E8" s="6">
        <v>-556.70000000000005</v>
      </c>
      <c r="F8" s="6">
        <v>14610.39</v>
      </c>
    </row>
    <row r="9" spans="1:6" ht="24" customHeight="1">
      <c r="A9" s="31" t="s">
        <v>231</v>
      </c>
      <c r="B9" s="6">
        <v>12027.04</v>
      </c>
      <c r="C9" s="6">
        <v>11227.88</v>
      </c>
      <c r="D9" s="6">
        <v>-4670.8</v>
      </c>
      <c r="E9" s="6">
        <v>6720.88</v>
      </c>
      <c r="F9" s="6">
        <v>42896.19</v>
      </c>
    </row>
    <row r="10" spans="1:6" ht="24" customHeight="1">
      <c r="A10" s="8" t="s">
        <v>232</v>
      </c>
      <c r="B10" s="6">
        <v>28632.44</v>
      </c>
      <c r="C10" s="6">
        <v>28788.71</v>
      </c>
      <c r="D10" s="6">
        <v>2914.53</v>
      </c>
      <c r="E10" s="6">
        <v>-1168.24</v>
      </c>
      <c r="F10" s="6">
        <v>66459.990000000005</v>
      </c>
    </row>
    <row r="11" spans="1:6" ht="24" customHeight="1">
      <c r="A11" s="8" t="s">
        <v>233</v>
      </c>
      <c r="B11" s="6">
        <v>2034.89</v>
      </c>
      <c r="C11" s="6">
        <v>1232.96</v>
      </c>
      <c r="D11" s="6">
        <v>-1076.48</v>
      </c>
      <c r="E11" s="6">
        <v>1109.03</v>
      </c>
      <c r="F11" s="6">
        <v>6586.91</v>
      </c>
    </row>
    <row r="12" spans="1:6" s="10" customFormat="1" ht="24" customHeight="1">
      <c r="A12" s="42" t="s">
        <v>234</v>
      </c>
      <c r="B12" s="6">
        <v>3659.01</v>
      </c>
      <c r="C12" s="6">
        <v>2627.47</v>
      </c>
      <c r="D12" s="6">
        <v>490.22</v>
      </c>
      <c r="E12" s="6">
        <v>-2354.14</v>
      </c>
      <c r="F12" s="6">
        <v>9946.33</v>
      </c>
    </row>
    <row r="13" spans="1:6" s="10" customFormat="1" ht="24" customHeight="1">
      <c r="A13" s="42" t="s">
        <v>235</v>
      </c>
      <c r="B13" s="6">
        <v>646.59</v>
      </c>
      <c r="C13" s="6">
        <v>898.22</v>
      </c>
      <c r="D13" s="6">
        <v>175.52</v>
      </c>
      <c r="E13" s="6">
        <v>-873.16</v>
      </c>
      <c r="F13" s="6">
        <v>653.22</v>
      </c>
    </row>
    <row r="14" spans="1:6" s="10" customFormat="1" ht="24" customHeight="1">
      <c r="A14" s="42" t="s">
        <v>236</v>
      </c>
      <c r="B14" s="6">
        <v>3345.12</v>
      </c>
      <c r="C14" s="6">
        <v>2937.91</v>
      </c>
      <c r="D14" s="6">
        <v>-347.07</v>
      </c>
      <c r="E14" s="6">
        <v>-1933.6</v>
      </c>
      <c r="F14" s="6">
        <v>3733.51</v>
      </c>
    </row>
    <row r="15" spans="1:6" s="10" customFormat="1" ht="24" customHeight="1">
      <c r="A15" s="42" t="s">
        <v>237</v>
      </c>
      <c r="B15" s="6">
        <v>1064.31</v>
      </c>
      <c r="C15" s="6">
        <v>1386.61</v>
      </c>
      <c r="D15" s="6">
        <v>781.31</v>
      </c>
      <c r="E15" s="6">
        <v>371.68</v>
      </c>
      <c r="F15" s="6">
        <v>917.52</v>
      </c>
    </row>
    <row r="16" spans="1:6" ht="24" customHeight="1">
      <c r="A16" s="8" t="s">
        <v>238</v>
      </c>
      <c r="B16" s="6">
        <v>4768.41</v>
      </c>
      <c r="C16" s="6">
        <v>1237.9100000000001</v>
      </c>
      <c r="D16" s="6">
        <v>664.96</v>
      </c>
      <c r="E16" s="6">
        <v>-1565.78</v>
      </c>
      <c r="F16" s="6">
        <v>4281.8500000000004</v>
      </c>
    </row>
    <row r="17" spans="1:6" ht="24" customHeight="1">
      <c r="A17" s="11" t="s">
        <v>239</v>
      </c>
      <c r="B17" s="6">
        <v>1743.03</v>
      </c>
      <c r="C17" s="6">
        <v>3584.15</v>
      </c>
      <c r="D17" s="6">
        <v>-86.29</v>
      </c>
      <c r="E17" s="6">
        <v>497.54</v>
      </c>
      <c r="F17" s="6">
        <v>6502.43</v>
      </c>
    </row>
    <row r="18" spans="1:6" ht="24" customHeight="1">
      <c r="A18" s="8" t="s">
        <v>240</v>
      </c>
      <c r="B18" s="6">
        <v>40985.75</v>
      </c>
      <c r="C18" s="6">
        <v>17744.080000000002</v>
      </c>
      <c r="D18" s="6">
        <v>17225.36</v>
      </c>
      <c r="E18" s="6">
        <v>517.36</v>
      </c>
      <c r="F18" s="6">
        <v>29491.119999999999</v>
      </c>
    </row>
    <row r="19" spans="1:6" ht="24" customHeight="1">
      <c r="A19" s="8" t="s">
        <v>241</v>
      </c>
      <c r="B19" s="6">
        <v>1586.59</v>
      </c>
      <c r="C19" s="6">
        <v>3510.57</v>
      </c>
      <c r="D19" s="6">
        <v>5193.1099999999997</v>
      </c>
      <c r="E19" s="6">
        <v>-808.7</v>
      </c>
      <c r="F19" s="6">
        <v>204.6</v>
      </c>
    </row>
    <row r="20" spans="1:6" ht="24" customHeight="1">
      <c r="A20" s="8" t="s">
        <v>242</v>
      </c>
      <c r="B20" s="6">
        <v>14637.48</v>
      </c>
      <c r="C20" s="6">
        <v>9687.36</v>
      </c>
      <c r="D20" s="6">
        <v>-5163.33</v>
      </c>
      <c r="E20" s="6">
        <v>-9763.9</v>
      </c>
      <c r="F20" s="6">
        <v>19917.75</v>
      </c>
    </row>
    <row r="21" spans="1:6" ht="24" customHeight="1" thickBot="1">
      <c r="A21" s="8" t="s">
        <v>243</v>
      </c>
      <c r="B21" s="6">
        <v>20806.73</v>
      </c>
      <c r="C21" s="6">
        <v>7582.88</v>
      </c>
      <c r="D21" s="6">
        <v>12756.59</v>
      </c>
      <c r="E21" s="6">
        <v>2917.92</v>
      </c>
      <c r="F21" s="6">
        <v>1353.21</v>
      </c>
    </row>
    <row r="22" spans="1:6" ht="24" customHeight="1" thickBot="1">
      <c r="A22" s="155" t="s">
        <v>108</v>
      </c>
      <c r="B22" s="156">
        <v>7.7426722049661603</v>
      </c>
      <c r="C22" s="156">
        <v>8.0807944144115407</v>
      </c>
      <c r="D22" s="156">
        <v>8.10115483293864</v>
      </c>
      <c r="E22" s="156">
        <v>8.7562944679230608</v>
      </c>
      <c r="F22" s="156">
        <v>9.1923369409618907</v>
      </c>
    </row>
    <row r="23" spans="1:6" ht="11.9" customHeight="1">
      <c r="A23" s="20"/>
      <c r="B23" s="18"/>
      <c r="C23" s="18"/>
      <c r="D23" s="18"/>
      <c r="E23" s="18"/>
      <c r="F23" s="18"/>
    </row>
    <row r="24" spans="1:6" ht="11.9" customHeight="1">
      <c r="A24" s="20" t="s">
        <v>109</v>
      </c>
    </row>
    <row r="25" spans="1:6" ht="11.9" customHeight="1">
      <c r="A25" s="232" t="s">
        <v>110</v>
      </c>
      <c r="B25" s="242" t="s">
        <v>111</v>
      </c>
      <c r="C25" s="242"/>
      <c r="D25" s="235" t="s">
        <v>75</v>
      </c>
    </row>
    <row r="26" spans="1:6" ht="11.9" customHeight="1">
      <c r="A26" s="232"/>
      <c r="B26" s="243" t="s">
        <v>112</v>
      </c>
      <c r="C26" s="243"/>
      <c r="D26" s="235"/>
    </row>
    <row r="27" spans="1:6">
      <c r="A27" s="20" t="s">
        <v>316</v>
      </c>
    </row>
    <row r="28" spans="1:6">
      <c r="A28" s="21"/>
    </row>
    <row r="29" spans="1:6">
      <c r="A29" s="21"/>
    </row>
    <row r="30" spans="1:6">
      <c r="A30" s="20"/>
    </row>
    <row r="31" spans="1:6">
      <c r="A31" s="20"/>
    </row>
    <row r="32" spans="1:6">
      <c r="A32" s="20"/>
    </row>
    <row r="33" spans="1:1">
      <c r="A33" s="20"/>
    </row>
  </sheetData>
  <mergeCells count="10">
    <mergeCell ref="E4:E5"/>
    <mergeCell ref="F4:F5"/>
    <mergeCell ref="A25:A26"/>
    <mergeCell ref="B25:C25"/>
    <mergeCell ref="D25:D26"/>
    <mergeCell ref="B26:C26"/>
    <mergeCell ref="A4:A5"/>
    <mergeCell ref="D4:D5"/>
    <mergeCell ref="C4:C5"/>
    <mergeCell ref="B4:B5"/>
  </mergeCells>
  <phoneticPr fontId="2"/>
  <printOptions horizontalCentered="1"/>
  <pageMargins left="0.78740157480314965" right="0.78740157480314965" top="0.98425196850393704" bottom="0.47244094488188981" header="0.51181102362204722" footer="0.19685039370078741"/>
  <pageSetup paperSize="9" scale="78" orientation="landscape" horizontalDpi="300" verticalDpi="300" r:id="rId1"/>
  <headerFooter alignWithMargins="0"/>
  <ignoredErrors>
    <ignoredError sqref="F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D802-A528-43C5-9C58-9927E4886E99}">
  <sheetPr codeName="Sheet3">
    <tabColor rgb="FFFFC000"/>
    <pageSetUpPr fitToPage="1"/>
  </sheetPr>
  <dimension ref="A1:K20"/>
  <sheetViews>
    <sheetView view="pageBreakPreview" zoomScaleNormal="100" zoomScaleSheetLayoutView="100" workbookViewId="0"/>
  </sheetViews>
  <sheetFormatPr defaultColWidth="9" defaultRowHeight="11"/>
  <cols>
    <col min="1" max="1" width="29" style="2" customWidth="1"/>
    <col min="2" max="2" width="17.7265625" style="2" customWidth="1"/>
    <col min="3" max="3" width="8.6328125" style="2" customWidth="1"/>
    <col min="4" max="4" width="17.7265625" style="2" customWidth="1"/>
    <col min="5" max="5" width="8.6328125" style="2" customWidth="1"/>
    <col min="6" max="6" width="17.7265625" style="2" customWidth="1"/>
    <col min="7" max="7" width="8.6328125" style="2" customWidth="1"/>
    <col min="8" max="8" width="17.7265625" style="2" customWidth="1"/>
    <col min="9" max="9" width="8.6328125" style="2" customWidth="1"/>
    <col min="10" max="10" width="17.7265625" style="2" customWidth="1"/>
    <col min="11" max="11" width="8.6328125" style="2" customWidth="1"/>
    <col min="12" max="73" width="10.26953125" style="2" customWidth="1"/>
    <col min="74" max="16384" width="9" style="2"/>
  </cols>
  <sheetData>
    <row r="1" spans="1:11" ht="19">
      <c r="D1" s="1" t="s">
        <v>269</v>
      </c>
    </row>
    <row r="3" spans="1:11" ht="11.5" thickBot="1">
      <c r="K3" s="3" t="s">
        <v>79</v>
      </c>
    </row>
    <row r="4" spans="1:11" ht="12" customHeight="1" thickBot="1">
      <c r="A4" s="217" t="s">
        <v>113</v>
      </c>
      <c r="B4" s="244" t="s">
        <v>308</v>
      </c>
      <c r="C4" s="159"/>
      <c r="D4" s="244" t="s">
        <v>310</v>
      </c>
      <c r="E4" s="159"/>
      <c r="F4" s="244" t="s">
        <v>311</v>
      </c>
      <c r="G4" s="159"/>
      <c r="H4" s="244" t="s">
        <v>312</v>
      </c>
      <c r="I4" s="159"/>
      <c r="J4" s="244" t="s">
        <v>318</v>
      </c>
      <c r="K4" s="159"/>
    </row>
    <row r="5" spans="1:11" ht="25" customHeight="1" thickBot="1">
      <c r="A5" s="218"/>
      <c r="B5" s="219"/>
      <c r="C5" s="4" t="s">
        <v>7</v>
      </c>
      <c r="D5" s="219"/>
      <c r="E5" s="4" t="s">
        <v>7</v>
      </c>
      <c r="F5" s="219"/>
      <c r="G5" s="4" t="s">
        <v>7</v>
      </c>
      <c r="H5" s="219"/>
      <c r="I5" s="4" t="s">
        <v>7</v>
      </c>
      <c r="J5" s="219"/>
      <c r="K5" s="4" t="s">
        <v>114</v>
      </c>
    </row>
    <row r="6" spans="1:11" ht="24" customHeight="1">
      <c r="A6" s="5" t="s">
        <v>115</v>
      </c>
      <c r="B6" s="24">
        <v>2432589.64</v>
      </c>
      <c r="C6" s="25">
        <v>7.2908099999999996</v>
      </c>
      <c r="D6" s="24">
        <v>2402155.29</v>
      </c>
      <c r="E6" s="25">
        <v>-1.251109</v>
      </c>
      <c r="F6" s="24">
        <v>2263735.15</v>
      </c>
      <c r="G6" s="25">
        <v>-5.7623309999999996</v>
      </c>
      <c r="H6" s="24">
        <v>2195915.36</v>
      </c>
      <c r="I6" s="25">
        <v>-2.995924</v>
      </c>
      <c r="J6" s="24">
        <v>2414685.69</v>
      </c>
      <c r="K6" s="25">
        <v>9.9626029999999997</v>
      </c>
    </row>
    <row r="7" spans="1:11" ht="24" customHeight="1">
      <c r="A7" s="8" t="s">
        <v>116</v>
      </c>
      <c r="B7" s="27">
        <v>1813036.43</v>
      </c>
      <c r="C7" s="26">
        <v>8.296837</v>
      </c>
      <c r="D7" s="27">
        <v>1762338.1</v>
      </c>
      <c r="E7" s="26">
        <v>-2.796322</v>
      </c>
      <c r="F7" s="27">
        <v>1622154.93</v>
      </c>
      <c r="G7" s="26">
        <v>-7.9543860000000004</v>
      </c>
      <c r="H7" s="27">
        <v>1541082.33</v>
      </c>
      <c r="I7" s="26">
        <v>-4.997833</v>
      </c>
      <c r="J7" s="27">
        <v>1684924.04</v>
      </c>
      <c r="K7" s="26">
        <v>9.3338110000000007</v>
      </c>
    </row>
    <row r="8" spans="1:11" ht="24" customHeight="1">
      <c r="A8" s="8" t="s">
        <v>117</v>
      </c>
      <c r="B8" s="27">
        <v>1688913.68</v>
      </c>
      <c r="C8" s="26">
        <v>7.9378120000000001</v>
      </c>
      <c r="D8" s="27">
        <v>1671351.4</v>
      </c>
      <c r="E8" s="26">
        <v>-1.039857</v>
      </c>
      <c r="F8" s="27">
        <v>1759906.02</v>
      </c>
      <c r="G8" s="26">
        <v>5.2983840000000004</v>
      </c>
      <c r="H8" s="27">
        <v>1869142.95</v>
      </c>
      <c r="I8" s="26">
        <v>6.2069749999999999</v>
      </c>
      <c r="J8" s="27">
        <v>1914841.9</v>
      </c>
      <c r="K8" s="26">
        <v>2.4449149999999999</v>
      </c>
    </row>
    <row r="9" spans="1:11" ht="24" customHeight="1">
      <c r="A9" s="8" t="s">
        <v>118</v>
      </c>
      <c r="B9" s="27">
        <v>3084779.39</v>
      </c>
      <c r="C9" s="26">
        <v>-0.71658200000000005</v>
      </c>
      <c r="D9" s="27">
        <v>3193428.6</v>
      </c>
      <c r="E9" s="26">
        <v>3.522106</v>
      </c>
      <c r="F9" s="27">
        <v>3216838.79</v>
      </c>
      <c r="G9" s="26">
        <v>0.733074</v>
      </c>
      <c r="H9" s="27">
        <v>3624108.29</v>
      </c>
      <c r="I9" s="26">
        <v>12.660551</v>
      </c>
      <c r="J9" s="27">
        <v>3947365.14</v>
      </c>
      <c r="K9" s="26">
        <v>8.9196240000000007</v>
      </c>
    </row>
    <row r="10" spans="1:11" ht="24" customHeight="1">
      <c r="A10" s="8" t="s">
        <v>119</v>
      </c>
      <c r="B10" s="27">
        <v>2219694.59</v>
      </c>
      <c r="C10" s="26">
        <v>5.2192319999999999</v>
      </c>
      <c r="D10" s="27">
        <v>2232019.0099999998</v>
      </c>
      <c r="E10" s="26">
        <v>0.55523</v>
      </c>
      <c r="F10" s="27">
        <v>2212943.91</v>
      </c>
      <c r="G10" s="26">
        <v>-0.85461200000000004</v>
      </c>
      <c r="H10" s="27">
        <v>2594934.36</v>
      </c>
      <c r="I10" s="26">
        <v>17.261641999999998</v>
      </c>
      <c r="J10" s="27">
        <v>2809756.31</v>
      </c>
      <c r="K10" s="26">
        <v>8.2785119999999992</v>
      </c>
    </row>
    <row r="11" spans="1:11" ht="24" customHeight="1" thickBot="1">
      <c r="A11" s="8" t="s">
        <v>120</v>
      </c>
      <c r="B11" s="27">
        <v>179585.67</v>
      </c>
      <c r="C11" s="26">
        <v>2.3972039999999999</v>
      </c>
      <c r="D11" s="27">
        <v>172102.48</v>
      </c>
      <c r="E11" s="26">
        <v>-4.166919</v>
      </c>
      <c r="F11" s="27">
        <v>157643.76</v>
      </c>
      <c r="G11" s="26">
        <v>-8.4012270000000004</v>
      </c>
      <c r="H11" s="27">
        <v>200364.52</v>
      </c>
      <c r="I11" s="26">
        <v>27.099557000000001</v>
      </c>
      <c r="J11" s="27">
        <v>193298.33</v>
      </c>
      <c r="K11" s="26">
        <v>-3.5266670000000002</v>
      </c>
    </row>
    <row r="12" spans="1:11" ht="24" customHeight="1" thickBot="1">
      <c r="A12" s="157" t="s">
        <v>121</v>
      </c>
      <c r="B12" s="245">
        <v>15.322267999999999</v>
      </c>
      <c r="C12" s="246"/>
      <c r="D12" s="245">
        <v>15.416183999999999</v>
      </c>
      <c r="E12" s="246"/>
      <c r="F12" s="245">
        <v>15.832380000000001</v>
      </c>
      <c r="G12" s="246"/>
      <c r="H12" s="245">
        <v>19.069413000000001</v>
      </c>
      <c r="I12" s="246"/>
      <c r="J12" s="245">
        <v>20.376937000000002</v>
      </c>
      <c r="K12" s="246"/>
    </row>
    <row r="13" spans="1:11" ht="11.9" customHeight="1">
      <c r="A13" s="20"/>
      <c r="B13" s="18"/>
      <c r="D13" s="18"/>
      <c r="F13" s="18"/>
      <c r="H13" s="18"/>
      <c r="J13" s="18"/>
    </row>
    <row r="14" spans="1:11" ht="12.75" customHeight="1">
      <c r="A14" s="232" t="s">
        <v>122</v>
      </c>
      <c r="B14" s="233" t="s">
        <v>123</v>
      </c>
      <c r="C14" s="233"/>
      <c r="D14" s="233"/>
      <c r="E14" s="233"/>
      <c r="F14" s="233"/>
      <c r="G14" s="233"/>
      <c r="H14" s="233"/>
      <c r="I14" s="235" t="s">
        <v>75</v>
      </c>
      <c r="J14" s="18"/>
    </row>
    <row r="15" spans="1:11" ht="12.75" customHeight="1">
      <c r="A15" s="232"/>
      <c r="B15" s="234" t="s">
        <v>112</v>
      </c>
      <c r="C15" s="234"/>
      <c r="D15" s="234"/>
      <c r="E15" s="234"/>
      <c r="F15" s="234"/>
      <c r="G15" s="234"/>
      <c r="H15" s="234"/>
      <c r="I15" s="235"/>
      <c r="J15" s="18"/>
    </row>
    <row r="16" spans="1:11" ht="12.75" customHeight="1">
      <c r="A16" s="37" t="s">
        <v>124</v>
      </c>
      <c r="B16" s="18"/>
      <c r="D16" s="18"/>
      <c r="F16" s="18"/>
      <c r="H16" s="18"/>
      <c r="J16" s="18"/>
    </row>
    <row r="17" spans="1:10" ht="11.9" customHeight="1">
      <c r="A17" s="221"/>
      <c r="B17" s="221"/>
      <c r="C17" s="221"/>
      <c r="D17" s="221"/>
      <c r="E17" s="221"/>
      <c r="F17" s="221"/>
      <c r="G17" s="221"/>
      <c r="H17" s="221"/>
      <c r="I17" s="221"/>
      <c r="J17" s="18"/>
    </row>
    <row r="18" spans="1:10" ht="11.9" customHeight="1">
      <c r="A18" s="20"/>
      <c r="B18" s="18"/>
      <c r="D18" s="18"/>
      <c r="F18" s="18"/>
      <c r="H18" s="18"/>
      <c r="J18" s="18"/>
    </row>
    <row r="19" spans="1:10" ht="11.9" customHeight="1">
      <c r="A19" s="20"/>
      <c r="B19" s="18"/>
      <c r="D19" s="18"/>
      <c r="F19" s="18"/>
      <c r="H19" s="18"/>
      <c r="J19" s="18"/>
    </row>
    <row r="20" spans="1:10" ht="11.9" customHeight="1">
      <c r="A20" s="20"/>
      <c r="B20" s="18"/>
      <c r="D20" s="18"/>
      <c r="F20" s="18"/>
      <c r="H20" s="18"/>
      <c r="J20" s="18"/>
    </row>
  </sheetData>
  <mergeCells count="16">
    <mergeCell ref="A17:I17"/>
    <mergeCell ref="A14:A15"/>
    <mergeCell ref="B14:H14"/>
    <mergeCell ref="I14:I15"/>
    <mergeCell ref="B15:H15"/>
    <mergeCell ref="J4:J5"/>
    <mergeCell ref="J12:K12"/>
    <mergeCell ref="A4:A5"/>
    <mergeCell ref="H12:I12"/>
    <mergeCell ref="B4:B5"/>
    <mergeCell ref="D4:D5"/>
    <mergeCell ref="F4:F5"/>
    <mergeCell ref="H4:H5"/>
    <mergeCell ref="B12:C12"/>
    <mergeCell ref="D12:E12"/>
    <mergeCell ref="F12:G12"/>
  </mergeCells>
  <phoneticPr fontId="2"/>
  <printOptions horizontalCentered="1"/>
  <pageMargins left="0.78740157480314965" right="0.78740157480314965" top="0.98425196850393704" bottom="0.47244094488188981" header="0.51181102362204722" footer="0.19685039370078741"/>
  <pageSetup paperSize="9" scale="81" orientation="landscape" horizontalDpi="300" verticalDpi="300" r:id="rId1"/>
  <headerFooter alignWithMargins="0"/>
  <ignoredErrors>
    <ignoredError sqref="J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D2E4-CE6D-43FF-87F7-CCA188E6B78F}">
  <sheetPr codeName="Sheet4">
    <tabColor rgb="FFFFC000"/>
    <pageSetUpPr fitToPage="1"/>
  </sheetPr>
  <dimension ref="A1:L26"/>
  <sheetViews>
    <sheetView view="pageBreakPreview" zoomScaleNormal="100" zoomScaleSheetLayoutView="100" workbookViewId="0"/>
  </sheetViews>
  <sheetFormatPr defaultColWidth="9" defaultRowHeight="11"/>
  <cols>
    <col min="1" max="1" width="28.26953125" style="2" customWidth="1"/>
    <col min="2" max="2" width="17.7265625" style="2" customWidth="1"/>
    <col min="3" max="3" width="9.26953125" style="2" customWidth="1"/>
    <col min="4" max="4" width="17.7265625" style="2" customWidth="1"/>
    <col min="5" max="5" width="9.26953125" style="2" customWidth="1"/>
    <col min="6" max="6" width="17.7265625" style="2" customWidth="1"/>
    <col min="7" max="7" width="9.26953125" style="2" customWidth="1"/>
    <col min="8" max="8" width="17.7265625" style="2" customWidth="1"/>
    <col min="9" max="9" width="9.26953125" style="2" customWidth="1"/>
    <col min="10" max="10" width="17.7265625" style="2" customWidth="1"/>
    <col min="11" max="11" width="9.26953125" style="2" customWidth="1"/>
    <col min="12" max="73" width="10.26953125" style="2" customWidth="1"/>
    <col min="74" max="16384" width="9" style="2"/>
  </cols>
  <sheetData>
    <row r="1" spans="1:12" ht="19">
      <c r="D1" s="1" t="s">
        <v>270</v>
      </c>
    </row>
    <row r="3" spans="1:12" ht="11.5" thickBot="1">
      <c r="K3" s="3" t="s">
        <v>79</v>
      </c>
    </row>
    <row r="4" spans="1:12" ht="12" customHeight="1" thickBot="1">
      <c r="A4" s="217" t="s">
        <v>125</v>
      </c>
      <c r="B4" s="244" t="s">
        <v>308</v>
      </c>
      <c r="C4" s="159"/>
      <c r="D4" s="244" t="s">
        <v>310</v>
      </c>
      <c r="E4" s="159"/>
      <c r="F4" s="244" t="s">
        <v>311</v>
      </c>
      <c r="G4" s="159"/>
      <c r="H4" s="244" t="s">
        <v>312</v>
      </c>
      <c r="I4" s="159"/>
      <c r="J4" s="244" t="s">
        <v>318</v>
      </c>
      <c r="K4" s="159"/>
    </row>
    <row r="5" spans="1:12" ht="25" customHeight="1" thickBot="1">
      <c r="A5" s="218"/>
      <c r="B5" s="219"/>
      <c r="C5" s="4" t="s">
        <v>62</v>
      </c>
      <c r="D5" s="219"/>
      <c r="E5" s="4" t="s">
        <v>62</v>
      </c>
      <c r="F5" s="219"/>
      <c r="G5" s="4" t="s">
        <v>62</v>
      </c>
      <c r="H5" s="219"/>
      <c r="I5" s="4" t="s">
        <v>62</v>
      </c>
      <c r="J5" s="219"/>
      <c r="K5" s="4" t="s">
        <v>62</v>
      </c>
    </row>
    <row r="6" spans="1:12" ht="24" customHeight="1">
      <c r="A6" s="5" t="s">
        <v>126</v>
      </c>
      <c r="B6" s="24">
        <v>1125451.95</v>
      </c>
      <c r="C6" s="43">
        <v>100</v>
      </c>
      <c r="D6" s="24">
        <v>929448.69</v>
      </c>
      <c r="E6" s="43">
        <v>100</v>
      </c>
      <c r="F6" s="24">
        <v>884947.81</v>
      </c>
      <c r="G6" s="43">
        <v>100</v>
      </c>
      <c r="H6" s="24">
        <v>1389610.99</v>
      </c>
      <c r="I6" s="43">
        <v>100</v>
      </c>
      <c r="J6" s="24">
        <v>1141625.52</v>
      </c>
      <c r="K6" s="43">
        <v>100</v>
      </c>
      <c r="L6" s="196"/>
    </row>
    <row r="7" spans="1:12" ht="24" customHeight="1">
      <c r="A7" s="8" t="s">
        <v>127</v>
      </c>
      <c r="B7" s="27">
        <v>116159.56</v>
      </c>
      <c r="C7" s="44">
        <v>10.3</v>
      </c>
      <c r="D7" s="27">
        <v>173645.49</v>
      </c>
      <c r="E7" s="44">
        <v>18.6826332500398</v>
      </c>
      <c r="F7" s="27">
        <v>256395.99</v>
      </c>
      <c r="G7" s="44">
        <v>28.9730068940449</v>
      </c>
      <c r="H7" s="27">
        <v>581250.73</v>
      </c>
      <c r="I7" s="44">
        <v>41.828305488574102</v>
      </c>
      <c r="J7" s="27">
        <v>108442.72</v>
      </c>
      <c r="K7" s="44">
        <v>9.4989747601297392</v>
      </c>
      <c r="L7" s="196"/>
    </row>
    <row r="8" spans="1:12" ht="24" customHeight="1">
      <c r="A8" s="8" t="s">
        <v>128</v>
      </c>
      <c r="B8" s="27">
        <v>-37614.699999999997</v>
      </c>
      <c r="C8" s="44">
        <v>-3.3</v>
      </c>
      <c r="D8" s="27">
        <v>15461.23</v>
      </c>
      <c r="E8" s="44">
        <v>1.6634839734939999</v>
      </c>
      <c r="F8" s="27">
        <v>-38129.96</v>
      </c>
      <c r="G8" s="44">
        <v>-4.3087241495066202</v>
      </c>
      <c r="H8" s="27">
        <v>-59603.35</v>
      </c>
      <c r="I8" s="44">
        <v>-4.2892111842034204</v>
      </c>
      <c r="J8" s="27">
        <v>-106260.15</v>
      </c>
      <c r="K8" s="44">
        <v>-9.3077938552039292</v>
      </c>
      <c r="L8" s="196"/>
    </row>
    <row r="9" spans="1:12" ht="24" customHeight="1">
      <c r="A9" s="8" t="s">
        <v>129</v>
      </c>
      <c r="B9" s="27">
        <v>64364.959999999999</v>
      </c>
      <c r="C9" s="44">
        <v>5.7</v>
      </c>
      <c r="D9" s="27">
        <v>56704.41</v>
      </c>
      <c r="E9" s="44">
        <v>6.1008650192405902</v>
      </c>
      <c r="F9" s="27">
        <v>94905.79</v>
      </c>
      <c r="G9" s="44">
        <v>10.724450518726</v>
      </c>
      <c r="H9" s="27">
        <v>142911.60999999999</v>
      </c>
      <c r="I9" s="44">
        <v>10.284288986517</v>
      </c>
      <c r="J9" s="27">
        <v>86538.76</v>
      </c>
      <c r="K9" s="44">
        <v>7.5803105732955203</v>
      </c>
      <c r="L9" s="196"/>
    </row>
    <row r="10" spans="1:12" ht="24" customHeight="1">
      <c r="A10" s="8" t="s">
        <v>130</v>
      </c>
      <c r="B10" s="27">
        <v>89409.3</v>
      </c>
      <c r="C10" s="44">
        <v>7.9</v>
      </c>
      <c r="D10" s="27">
        <v>101479.85</v>
      </c>
      <c r="E10" s="44">
        <v>10.918284257305199</v>
      </c>
      <c r="F10" s="27">
        <v>199620.16</v>
      </c>
      <c r="G10" s="44">
        <v>22.557280524825501</v>
      </c>
      <c r="H10" s="27">
        <v>497942.47</v>
      </c>
      <c r="I10" s="44">
        <v>35.8332276862605</v>
      </c>
      <c r="J10" s="27">
        <v>128164.11</v>
      </c>
      <c r="K10" s="44">
        <v>11.2264580420381</v>
      </c>
      <c r="L10" s="196"/>
    </row>
    <row r="11" spans="1:12" ht="24" customHeight="1">
      <c r="A11" s="8" t="s">
        <v>249</v>
      </c>
      <c r="B11" s="27">
        <v>33229.94</v>
      </c>
      <c r="C11" s="44">
        <v>2.9</v>
      </c>
      <c r="D11" s="27">
        <v>65383.13</v>
      </c>
      <c r="E11" s="44">
        <v>7.0346142507339398</v>
      </c>
      <c r="F11" s="27">
        <v>106397.78</v>
      </c>
      <c r="G11" s="44">
        <v>12.023057043330001</v>
      </c>
      <c r="H11" s="27">
        <v>358986.91</v>
      </c>
      <c r="I11" s="44">
        <v>25.833626287022899</v>
      </c>
      <c r="J11" s="27">
        <v>93479.9</v>
      </c>
      <c r="K11" s="44">
        <v>8.1883155520209403</v>
      </c>
      <c r="L11" s="196"/>
    </row>
    <row r="12" spans="1:12" ht="24" customHeight="1">
      <c r="A12" s="8" t="s">
        <v>250</v>
      </c>
      <c r="B12" s="27">
        <v>56179.360000000001</v>
      </c>
      <c r="C12" s="44">
        <v>5</v>
      </c>
      <c r="D12" s="27">
        <v>36096.720000000001</v>
      </c>
      <c r="E12" s="44">
        <v>3.8836700065713101</v>
      </c>
      <c r="F12" s="27">
        <v>93222.38</v>
      </c>
      <c r="G12" s="44">
        <v>10.6</v>
      </c>
      <c r="H12" s="27">
        <v>138955.56</v>
      </c>
      <c r="I12" s="44">
        <v>9.9996013992376298</v>
      </c>
      <c r="J12" s="27">
        <v>34684.21</v>
      </c>
      <c r="K12" s="44">
        <v>3.03814249001721</v>
      </c>
      <c r="L12" s="196"/>
    </row>
    <row r="13" spans="1:12" ht="24" customHeight="1">
      <c r="A13" s="8" t="s">
        <v>131</v>
      </c>
      <c r="B13" s="27">
        <v>1009292.39</v>
      </c>
      <c r="C13" s="44">
        <v>89.7</v>
      </c>
      <c r="D13" s="27">
        <v>755803.2</v>
      </c>
      <c r="E13" s="44">
        <v>81.317366749960101</v>
      </c>
      <c r="F13" s="27">
        <v>628551.81999999995</v>
      </c>
      <c r="G13" s="44">
        <v>71.026993105955</v>
      </c>
      <c r="H13" s="27">
        <v>808360.26</v>
      </c>
      <c r="I13" s="44">
        <v>58.171694511425798</v>
      </c>
      <c r="J13" s="27">
        <v>1033182.8</v>
      </c>
      <c r="K13" s="44">
        <v>90.501025239870202</v>
      </c>
      <c r="L13" s="196"/>
    </row>
    <row r="14" spans="1:12" ht="24" customHeight="1">
      <c r="A14" s="8" t="s">
        <v>132</v>
      </c>
      <c r="B14" s="27">
        <v>627561.24</v>
      </c>
      <c r="C14" s="44">
        <v>55.8</v>
      </c>
      <c r="D14" s="27">
        <v>375309.7</v>
      </c>
      <c r="E14" s="44">
        <v>40.379819137729903</v>
      </c>
      <c r="F14" s="27">
        <v>238855.01</v>
      </c>
      <c r="G14" s="44">
        <v>26.9908583648565</v>
      </c>
      <c r="H14" s="27">
        <v>420541.44</v>
      </c>
      <c r="I14" s="44">
        <v>30.263249429252099</v>
      </c>
      <c r="J14" s="27">
        <v>619849.81999999995</v>
      </c>
      <c r="K14" s="44">
        <v>54.2953717432665</v>
      </c>
      <c r="L14" s="196"/>
    </row>
    <row r="15" spans="1:12" ht="24" customHeight="1" thickBot="1">
      <c r="A15" s="14" t="s">
        <v>133</v>
      </c>
      <c r="B15" s="28">
        <v>381731.15</v>
      </c>
      <c r="C15" s="45">
        <v>33.9</v>
      </c>
      <c r="D15" s="28">
        <v>380493.5</v>
      </c>
      <c r="E15" s="45">
        <v>40.937547612230198</v>
      </c>
      <c r="F15" s="28">
        <v>389696.81</v>
      </c>
      <c r="G15" s="45">
        <v>44.036134741098401</v>
      </c>
      <c r="H15" s="28">
        <v>387818.82</v>
      </c>
      <c r="I15" s="45">
        <v>27.9084450821736</v>
      </c>
      <c r="J15" s="28">
        <v>413332.98</v>
      </c>
      <c r="K15" s="45">
        <v>36.205653496603603</v>
      </c>
      <c r="L15" s="196"/>
    </row>
    <row r="16" spans="1:12" ht="11.9" customHeight="1">
      <c r="A16" s="20"/>
      <c r="B16" s="18"/>
      <c r="D16" s="18"/>
      <c r="F16" s="18"/>
      <c r="H16" s="18"/>
      <c r="J16" s="18"/>
    </row>
    <row r="17" spans="1:10" ht="11.9" customHeight="1">
      <c r="A17" s="20" t="s">
        <v>134</v>
      </c>
      <c r="B17" s="18"/>
      <c r="D17" s="18"/>
      <c r="F17" s="18"/>
      <c r="H17" s="18"/>
      <c r="J17" s="18"/>
    </row>
    <row r="18" spans="1:10" ht="11.9" customHeight="1">
      <c r="A18" s="20" t="s">
        <v>135</v>
      </c>
      <c r="B18" s="18"/>
      <c r="D18" s="18"/>
      <c r="F18" s="18"/>
      <c r="H18" s="18"/>
      <c r="J18" s="18"/>
    </row>
    <row r="19" spans="1:10" ht="11.9" customHeight="1">
      <c r="A19" s="20" t="s">
        <v>136</v>
      </c>
      <c r="B19" s="18"/>
      <c r="D19" s="18"/>
      <c r="F19" s="18"/>
      <c r="H19" s="18"/>
      <c r="J19" s="18"/>
    </row>
    <row r="20" spans="1:10" ht="11.9" customHeight="1">
      <c r="A20" s="20" t="s">
        <v>137</v>
      </c>
      <c r="B20" s="18"/>
      <c r="D20" s="18"/>
      <c r="F20" s="18"/>
      <c r="H20" s="18"/>
      <c r="J20" s="18"/>
    </row>
    <row r="21" spans="1:10" ht="11.9" customHeight="1">
      <c r="A21" s="20" t="s">
        <v>138</v>
      </c>
      <c r="B21" s="18"/>
      <c r="D21" s="18"/>
      <c r="F21" s="18"/>
      <c r="H21" s="18"/>
      <c r="J21" s="18"/>
    </row>
    <row r="22" spans="1:10" ht="11.9" customHeight="1">
      <c r="A22" s="20" t="s">
        <v>139</v>
      </c>
      <c r="B22" s="18"/>
      <c r="D22" s="18"/>
      <c r="F22" s="18"/>
      <c r="H22" s="18"/>
      <c r="J22" s="18"/>
    </row>
    <row r="23" spans="1:10" ht="11.9" customHeight="1">
      <c r="A23" s="20" t="s">
        <v>140</v>
      </c>
      <c r="B23" s="18"/>
      <c r="D23" s="18"/>
      <c r="F23" s="18"/>
      <c r="H23" s="18"/>
      <c r="J23" s="18"/>
    </row>
    <row r="24" spans="1:10" ht="11.9" customHeight="1">
      <c r="A24" s="20" t="s">
        <v>141</v>
      </c>
      <c r="B24" s="18"/>
      <c r="D24" s="18"/>
      <c r="F24" s="18"/>
      <c r="H24" s="18"/>
      <c r="J24" s="18"/>
    </row>
    <row r="25" spans="1:10">
      <c r="A25" s="21"/>
    </row>
    <row r="26" spans="1:10">
      <c r="A26" s="20"/>
    </row>
  </sheetData>
  <mergeCells count="6">
    <mergeCell ref="H4:H5"/>
    <mergeCell ref="J4:J5"/>
    <mergeCell ref="A4:A5"/>
    <mergeCell ref="D4:D5"/>
    <mergeCell ref="B4:B5"/>
    <mergeCell ref="F4:F5"/>
  </mergeCells>
  <phoneticPr fontId="2"/>
  <printOptions horizontalCentered="1"/>
  <pageMargins left="0.78740157480314965" right="0.78740157480314965" top="0.98425196850393704" bottom="0.47244094488188981" header="0.51181102362204722" footer="0.19685039370078741"/>
  <pageSetup paperSize="9" scale="80" orientation="landscape" horizontalDpi="300" verticalDpi="300" r:id="rId1"/>
  <headerFooter alignWithMargins="0"/>
  <ignoredErrors>
    <ignoredError sqref="J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4D09-2E3A-4D5F-9BA8-64508DE0984B}">
  <sheetPr codeName="Sheet5">
    <tabColor rgb="FFFFC000"/>
    <pageSetUpPr fitToPage="1"/>
  </sheetPr>
  <dimension ref="A1:F19"/>
  <sheetViews>
    <sheetView view="pageBreakPreview" zoomScaleNormal="100" zoomScaleSheetLayoutView="100" workbookViewId="0"/>
  </sheetViews>
  <sheetFormatPr defaultColWidth="9" defaultRowHeight="11"/>
  <cols>
    <col min="1" max="1" width="29.7265625" style="2" customWidth="1"/>
    <col min="2" max="6" width="17.7265625" style="2" customWidth="1"/>
    <col min="7" max="73" width="10.26953125" style="2" customWidth="1"/>
    <col min="74" max="16384" width="9" style="2"/>
  </cols>
  <sheetData>
    <row r="1" spans="1:6" ht="19">
      <c r="C1" s="1" t="s">
        <v>271</v>
      </c>
    </row>
    <row r="3" spans="1:6" ht="11.5" thickBot="1">
      <c r="F3" s="3" t="s">
        <v>142</v>
      </c>
    </row>
    <row r="4" spans="1:6" ht="12" customHeight="1">
      <c r="A4" s="226" t="s">
        <v>30</v>
      </c>
      <c r="B4" s="240" t="s">
        <v>309</v>
      </c>
      <c r="C4" s="240" t="s">
        <v>310</v>
      </c>
      <c r="D4" s="240" t="s">
        <v>311</v>
      </c>
      <c r="E4" s="240" t="s">
        <v>312</v>
      </c>
      <c r="F4" s="240" t="s">
        <v>318</v>
      </c>
    </row>
    <row r="5" spans="1:6" ht="12" customHeight="1" thickBot="1">
      <c r="A5" s="248"/>
      <c r="B5" s="241"/>
      <c r="C5" s="241"/>
      <c r="D5" s="241"/>
      <c r="E5" s="241"/>
      <c r="F5" s="241"/>
    </row>
    <row r="6" spans="1:6" ht="24" customHeight="1">
      <c r="A6" s="5" t="s">
        <v>31</v>
      </c>
      <c r="B6" s="212">
        <v>41.679862</v>
      </c>
      <c r="C6" s="212">
        <v>41.996273000000002</v>
      </c>
      <c r="D6" s="212">
        <v>42.080089999999998</v>
      </c>
      <c r="E6" s="212">
        <v>40.665655999999998</v>
      </c>
      <c r="F6" s="46">
        <v>40.476883000000001</v>
      </c>
    </row>
    <row r="7" spans="1:6" ht="24" customHeight="1">
      <c r="A7" s="8" t="s">
        <v>143</v>
      </c>
      <c r="B7" s="213">
        <v>48.636980000000001</v>
      </c>
      <c r="C7" s="213">
        <v>49.906970999999999</v>
      </c>
      <c r="D7" s="213">
        <v>49.012141999999997</v>
      </c>
      <c r="E7" s="213">
        <v>48.832363000000001</v>
      </c>
      <c r="F7" s="47">
        <v>49.386105000000001</v>
      </c>
    </row>
    <row r="8" spans="1:6" ht="24" customHeight="1" thickBot="1">
      <c r="A8" s="14" t="s">
        <v>144</v>
      </c>
      <c r="B8" s="214">
        <v>39.132860000000001</v>
      </c>
      <c r="C8" s="214">
        <v>39.071392000000003</v>
      </c>
      <c r="D8" s="214">
        <v>39.559851000000002</v>
      </c>
      <c r="E8" s="214">
        <v>37.684797000000003</v>
      </c>
      <c r="F8" s="48">
        <v>37.250830999999998</v>
      </c>
    </row>
    <row r="9" spans="1:6" ht="24" customHeight="1">
      <c r="A9" s="8" t="s">
        <v>48</v>
      </c>
      <c r="B9" s="213"/>
      <c r="C9" s="213"/>
      <c r="D9" s="213"/>
      <c r="E9" s="213"/>
      <c r="F9" s="47"/>
    </row>
    <row r="10" spans="1:6" ht="24" customHeight="1">
      <c r="A10" s="8" t="s">
        <v>145</v>
      </c>
      <c r="B10" s="213">
        <v>45.196081</v>
      </c>
      <c r="C10" s="213">
        <v>45.452565</v>
      </c>
      <c r="D10" s="213">
        <v>44.803424999999997</v>
      </c>
      <c r="E10" s="213">
        <v>43.117333000000002</v>
      </c>
      <c r="F10" s="47">
        <v>42.823698</v>
      </c>
    </row>
    <row r="11" spans="1:6" ht="24" customHeight="1">
      <c r="A11" s="8" t="s">
        <v>146</v>
      </c>
      <c r="B11" s="213">
        <v>40.161040999999997</v>
      </c>
      <c r="C11" s="213">
        <v>42.000853999999997</v>
      </c>
      <c r="D11" s="213">
        <v>42.738683999999999</v>
      </c>
      <c r="E11" s="213">
        <v>42.249339999999997</v>
      </c>
      <c r="F11" s="47">
        <v>43.066335000000002</v>
      </c>
    </row>
    <row r="12" spans="1:6" ht="24" customHeight="1">
      <c r="A12" s="8" t="s">
        <v>51</v>
      </c>
      <c r="B12" s="213">
        <v>41.041792000000001</v>
      </c>
      <c r="C12" s="213">
        <v>41.223004000000003</v>
      </c>
      <c r="D12" s="213">
        <v>42.807997999999998</v>
      </c>
      <c r="E12" s="213">
        <v>41.377294999999997</v>
      </c>
      <c r="F12" s="47">
        <v>41.036133</v>
      </c>
    </row>
    <row r="13" spans="1:6" ht="24" customHeight="1" thickBot="1">
      <c r="A13" s="14" t="s">
        <v>52</v>
      </c>
      <c r="B13" s="213">
        <v>20.489052999999998</v>
      </c>
      <c r="C13" s="213">
        <v>19.264986</v>
      </c>
      <c r="D13" s="213">
        <v>17.117591999999998</v>
      </c>
      <c r="E13" s="213">
        <v>17.924900000000001</v>
      </c>
      <c r="F13" s="47">
        <v>16.812849</v>
      </c>
    </row>
    <row r="14" spans="1:6" ht="11.9" customHeight="1">
      <c r="B14" s="165"/>
      <c r="C14" s="165"/>
      <c r="D14" s="165"/>
      <c r="E14" s="165"/>
      <c r="F14" s="165"/>
    </row>
    <row r="15" spans="1:6" ht="16.5" customHeight="1">
      <c r="A15" s="232" t="s">
        <v>289</v>
      </c>
      <c r="B15" s="242" t="s">
        <v>147</v>
      </c>
      <c r="C15" s="242"/>
      <c r="D15" s="242"/>
      <c r="E15" s="232" t="s">
        <v>75</v>
      </c>
    </row>
    <row r="16" spans="1:6" ht="16.5" customHeight="1">
      <c r="A16" s="232"/>
      <c r="B16" s="247" t="s">
        <v>148</v>
      </c>
      <c r="C16" s="247"/>
      <c r="D16" s="247"/>
      <c r="E16" s="232"/>
    </row>
    <row r="17" spans="1:1" ht="16.5" customHeight="1">
      <c r="A17" s="37" t="s">
        <v>149</v>
      </c>
    </row>
    <row r="18" spans="1:1">
      <c r="A18" s="20"/>
    </row>
    <row r="19" spans="1:1">
      <c r="A19" s="20"/>
    </row>
  </sheetData>
  <mergeCells count="10">
    <mergeCell ref="F4:F5"/>
    <mergeCell ref="E4:E5"/>
    <mergeCell ref="D4:D5"/>
    <mergeCell ref="C4:C5"/>
    <mergeCell ref="A4:A5"/>
    <mergeCell ref="A15:A16"/>
    <mergeCell ref="B15:D15"/>
    <mergeCell ref="E15:E16"/>
    <mergeCell ref="B16:D16"/>
    <mergeCell ref="B4:B5"/>
  </mergeCells>
  <phoneticPr fontId="2"/>
  <printOptions horizontalCentered="1"/>
  <pageMargins left="0.78740157480314965" right="0.78740157480314965" top="0.98425196850393704" bottom="0.47244094488188981" header="0.51181102362204722" footer="0.19685039370078741"/>
  <pageSetup paperSize="9" orientation="landscape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18F1-35DD-4DC3-A339-BA222C021904}">
  <sheetPr>
    <tabColor rgb="FFFFC000"/>
    <pageSetUpPr fitToPage="1"/>
  </sheetPr>
  <dimension ref="A1:AC32"/>
  <sheetViews>
    <sheetView view="pageBreakPreview" zoomScaleNormal="100" zoomScaleSheetLayoutView="100" workbookViewId="0"/>
  </sheetViews>
  <sheetFormatPr defaultColWidth="8" defaultRowHeight="9.5"/>
  <cols>
    <col min="1" max="7" width="0.6328125" style="40" customWidth="1"/>
    <col min="8" max="8" width="1.6328125" style="40" customWidth="1"/>
    <col min="9" max="12" width="0.6328125" style="40" customWidth="1"/>
    <col min="13" max="13" width="25.6328125" style="40" customWidth="1"/>
    <col min="14" max="14" width="0.6328125" style="40" customWidth="1"/>
    <col min="15" max="15" width="12.6328125" style="40" customWidth="1"/>
    <col min="16" max="16" width="10.6328125" style="40" customWidth="1"/>
    <col min="17" max="17" width="12.6328125" style="40" customWidth="1"/>
    <col min="18" max="18" width="10.6328125" style="40" customWidth="1"/>
    <col min="19" max="19" width="12.6328125" style="40" customWidth="1"/>
    <col min="20" max="20" width="10.6328125" style="40" customWidth="1"/>
    <col min="21" max="21" width="12.6328125" style="40" customWidth="1"/>
    <col min="22" max="22" width="10.6328125" style="40" customWidth="1"/>
    <col min="23" max="23" width="12.6328125" style="40" customWidth="1"/>
    <col min="24" max="24" width="10.6328125" style="40" customWidth="1"/>
    <col min="25" max="25" width="0.26953125" style="40" customWidth="1"/>
    <col min="26" max="26" width="10.6328125" style="40" hidden="1" customWidth="1"/>
    <col min="27" max="27" width="12.6328125" style="40" hidden="1" customWidth="1"/>
    <col min="28" max="28" width="10.6328125" style="40" hidden="1" customWidth="1"/>
    <col min="29" max="77" width="9" style="40" customWidth="1"/>
    <col min="78" max="16384" width="8" style="40"/>
  </cols>
  <sheetData>
    <row r="1" spans="1:28" ht="24.75" customHeight="1">
      <c r="A1" s="253" t="s">
        <v>272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</row>
    <row r="2" spans="1:28" ht="12.75" customHeight="1" thickBot="1">
      <c r="T2" s="49"/>
      <c r="U2" s="49"/>
      <c r="V2" s="49"/>
      <c r="W2" s="249" t="s">
        <v>3</v>
      </c>
      <c r="X2" s="249"/>
    </row>
    <row r="3" spans="1:28" ht="11.15" customHeight="1" thickBot="1">
      <c r="A3" s="254" t="s">
        <v>30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6"/>
      <c r="O3" s="250" t="s">
        <v>308</v>
      </c>
      <c r="P3" s="50"/>
      <c r="Q3" s="250" t="s">
        <v>310</v>
      </c>
      <c r="R3" s="50"/>
      <c r="S3" s="250" t="s">
        <v>311</v>
      </c>
      <c r="T3" s="50"/>
      <c r="U3" s="250" t="s">
        <v>312</v>
      </c>
      <c r="V3" s="50"/>
      <c r="W3" s="250" t="s">
        <v>318</v>
      </c>
      <c r="X3" s="50"/>
    </row>
    <row r="4" spans="1:28" ht="11.15" customHeight="1">
      <c r="A4" s="257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9"/>
      <c r="O4" s="251"/>
      <c r="P4" s="263" t="s">
        <v>150</v>
      </c>
      <c r="Q4" s="251"/>
      <c r="R4" s="263" t="s">
        <v>150</v>
      </c>
      <c r="S4" s="251"/>
      <c r="T4" s="263" t="s">
        <v>150</v>
      </c>
      <c r="U4" s="251"/>
      <c r="V4" s="263" t="s">
        <v>150</v>
      </c>
      <c r="W4" s="251"/>
      <c r="X4" s="263" t="s">
        <v>150</v>
      </c>
    </row>
    <row r="5" spans="1:28" ht="11.15" customHeight="1" thickBot="1">
      <c r="A5" s="260"/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2"/>
      <c r="O5" s="252"/>
      <c r="P5" s="264"/>
      <c r="Q5" s="252"/>
      <c r="R5" s="264"/>
      <c r="S5" s="252"/>
      <c r="T5" s="264"/>
      <c r="U5" s="252"/>
      <c r="V5" s="266"/>
      <c r="W5" s="252"/>
      <c r="X5" s="266"/>
    </row>
    <row r="6" spans="1:28" ht="30" customHeight="1">
      <c r="A6" s="51"/>
      <c r="B6" s="267" t="s">
        <v>151</v>
      </c>
      <c r="C6" s="268"/>
      <c r="D6" s="268"/>
      <c r="E6" s="268"/>
      <c r="F6" s="268"/>
      <c r="G6" s="268"/>
      <c r="H6" s="268"/>
      <c r="I6" s="268"/>
      <c r="J6" s="268"/>
      <c r="K6" s="268"/>
      <c r="L6" s="268"/>
      <c r="M6" s="268"/>
      <c r="N6" s="52"/>
      <c r="O6" s="53">
        <v>962764.08</v>
      </c>
      <c r="P6" s="54">
        <v>11.17159</v>
      </c>
      <c r="Q6" s="53">
        <v>952294.77</v>
      </c>
      <c r="R6" s="54">
        <v>-1.0874220000000001</v>
      </c>
      <c r="S6" s="53">
        <v>811909.52</v>
      </c>
      <c r="T6" s="54">
        <v>-14.741785</v>
      </c>
      <c r="U6" s="53">
        <v>733698.96</v>
      </c>
      <c r="V6" s="54">
        <v>-9.6329159999999998</v>
      </c>
      <c r="W6" s="53">
        <v>964189.79</v>
      </c>
      <c r="X6" s="54">
        <v>31.414905000000001</v>
      </c>
    </row>
    <row r="7" spans="1:28" ht="15.65" customHeight="1">
      <c r="A7" s="51"/>
      <c r="B7" s="55"/>
      <c r="C7" s="55"/>
      <c r="D7" s="268" t="s">
        <v>152</v>
      </c>
      <c r="E7" s="268"/>
      <c r="F7" s="268"/>
      <c r="G7" s="268"/>
      <c r="H7" s="268"/>
      <c r="I7" s="268"/>
      <c r="J7" s="268"/>
      <c r="K7" s="268"/>
      <c r="L7" s="268"/>
      <c r="M7" s="268"/>
      <c r="N7" s="52"/>
      <c r="O7" s="53">
        <v>127221.13</v>
      </c>
      <c r="P7" s="54">
        <v>9.5373070000000002</v>
      </c>
      <c r="Q7" s="53">
        <v>113118.12</v>
      </c>
      <c r="R7" s="54">
        <v>-11.085431</v>
      </c>
      <c r="S7" s="53">
        <v>97524.5</v>
      </c>
      <c r="T7" s="54">
        <v>-13.785254</v>
      </c>
      <c r="U7" s="53">
        <v>105161.18</v>
      </c>
      <c r="V7" s="54">
        <v>7.8305249999999997</v>
      </c>
      <c r="W7" s="53">
        <v>124943.26</v>
      </c>
      <c r="X7" s="54">
        <v>18.811199999999999</v>
      </c>
    </row>
    <row r="8" spans="1:28" ht="15.65" customHeight="1">
      <c r="A8" s="51"/>
      <c r="B8" s="55"/>
      <c r="C8" s="55"/>
      <c r="D8" s="55"/>
      <c r="E8" s="55"/>
      <c r="F8" s="265" t="s">
        <v>153</v>
      </c>
      <c r="G8" s="265"/>
      <c r="H8" s="265"/>
      <c r="I8" s="265"/>
      <c r="J8" s="265"/>
      <c r="K8" s="265"/>
      <c r="L8" s="265"/>
      <c r="M8" s="265"/>
      <c r="N8" s="52"/>
      <c r="O8" s="53">
        <v>57404.06</v>
      </c>
      <c r="P8" s="54">
        <v>2.4802390000000001</v>
      </c>
      <c r="Q8" s="53">
        <v>47476.07</v>
      </c>
      <c r="R8" s="54">
        <v>-17.294927000000001</v>
      </c>
      <c r="S8" s="53">
        <v>43484.38</v>
      </c>
      <c r="T8" s="54">
        <v>-8.4077940000000009</v>
      </c>
      <c r="U8" s="53">
        <v>39415.620000000003</v>
      </c>
      <c r="V8" s="54">
        <v>-9.3568309999999997</v>
      </c>
      <c r="W8" s="53">
        <v>49219.29</v>
      </c>
      <c r="X8" s="54">
        <v>24.872551000000001</v>
      </c>
    </row>
    <row r="9" spans="1:28" ht="15.65" customHeight="1">
      <c r="A9" s="51"/>
      <c r="B9" s="55"/>
      <c r="C9" s="55"/>
      <c r="D9" s="55"/>
      <c r="E9" s="55"/>
      <c r="F9" s="265" t="s">
        <v>154</v>
      </c>
      <c r="G9" s="265"/>
      <c r="H9" s="265"/>
      <c r="I9" s="265"/>
      <c r="J9" s="265"/>
      <c r="K9" s="265"/>
      <c r="L9" s="265"/>
      <c r="M9" s="265"/>
      <c r="N9" s="52"/>
      <c r="O9" s="53">
        <v>10687.39</v>
      </c>
      <c r="P9" s="54">
        <v>40.913538000000003</v>
      </c>
      <c r="Q9" s="53">
        <v>11859.58</v>
      </c>
      <c r="R9" s="54">
        <v>10.967973000000001</v>
      </c>
      <c r="S9" s="53">
        <v>11794.3</v>
      </c>
      <c r="T9" s="54">
        <v>-0.55044099999999996</v>
      </c>
      <c r="U9" s="53">
        <v>8164.29</v>
      </c>
      <c r="V9" s="54">
        <v>-30.777664000000001</v>
      </c>
      <c r="W9" s="53">
        <v>13284.35</v>
      </c>
      <c r="X9" s="54">
        <v>62.712862999999999</v>
      </c>
    </row>
    <row r="10" spans="1:28" ht="15.65" customHeight="1">
      <c r="A10" s="51"/>
      <c r="B10" s="55"/>
      <c r="C10" s="55"/>
      <c r="D10" s="55"/>
      <c r="E10" s="55"/>
      <c r="F10" s="265" t="s">
        <v>155</v>
      </c>
      <c r="G10" s="265"/>
      <c r="H10" s="265"/>
      <c r="I10" s="265"/>
      <c r="J10" s="265"/>
      <c r="K10" s="265"/>
      <c r="L10" s="265"/>
      <c r="M10" s="265"/>
      <c r="N10" s="52"/>
      <c r="O10" s="53">
        <v>7125.38</v>
      </c>
      <c r="P10" s="54">
        <v>1.8915789999999999</v>
      </c>
      <c r="Q10" s="53">
        <v>3982.04</v>
      </c>
      <c r="R10" s="54">
        <v>-44.114699999999999</v>
      </c>
      <c r="S10" s="53">
        <v>4023.01</v>
      </c>
      <c r="T10" s="54">
        <v>1.02887</v>
      </c>
      <c r="U10" s="53">
        <v>7523.73</v>
      </c>
      <c r="V10" s="54">
        <v>87.017431999999999</v>
      </c>
      <c r="W10" s="53">
        <v>6591.73</v>
      </c>
      <c r="X10" s="54">
        <v>-12.387473</v>
      </c>
    </row>
    <row r="11" spans="1:28" ht="15.65" customHeight="1">
      <c r="A11" s="51"/>
      <c r="B11" s="55"/>
      <c r="C11" s="55"/>
      <c r="D11" s="55"/>
      <c r="E11" s="55"/>
      <c r="F11" s="265" t="s">
        <v>156</v>
      </c>
      <c r="G11" s="265"/>
      <c r="H11" s="265"/>
      <c r="I11" s="265"/>
      <c r="J11" s="265"/>
      <c r="K11" s="265"/>
      <c r="L11" s="265"/>
      <c r="M11" s="265"/>
      <c r="N11" s="52"/>
      <c r="O11" s="53">
        <v>15080.14</v>
      </c>
      <c r="P11" s="54">
        <v>43.626672999999997</v>
      </c>
      <c r="Q11" s="53">
        <v>11144.18</v>
      </c>
      <c r="R11" s="54">
        <v>-26.100287999999999</v>
      </c>
      <c r="S11" s="53">
        <v>8340.59</v>
      </c>
      <c r="T11" s="54">
        <v>-25.157436000000001</v>
      </c>
      <c r="U11" s="53">
        <v>9705.4500000000007</v>
      </c>
      <c r="V11" s="54">
        <v>16.364070000000002</v>
      </c>
      <c r="W11" s="53">
        <v>12241.42</v>
      </c>
      <c r="X11" s="54">
        <v>26.129339999999999</v>
      </c>
    </row>
    <row r="12" spans="1:28" ht="15.65" customHeight="1">
      <c r="A12" s="51"/>
      <c r="B12" s="55"/>
      <c r="C12" s="55"/>
      <c r="D12" s="55"/>
      <c r="E12" s="55"/>
      <c r="F12" s="265" t="s">
        <v>157</v>
      </c>
      <c r="G12" s="265"/>
      <c r="H12" s="265"/>
      <c r="I12" s="265"/>
      <c r="J12" s="265"/>
      <c r="K12" s="265"/>
      <c r="L12" s="265"/>
      <c r="M12" s="265"/>
      <c r="N12" s="52"/>
      <c r="O12" s="53">
        <v>26452.54</v>
      </c>
      <c r="P12" s="54">
        <v>9.1417780000000004</v>
      </c>
      <c r="Q12" s="53">
        <v>27135.25</v>
      </c>
      <c r="R12" s="54">
        <v>2.580886</v>
      </c>
      <c r="S12" s="53">
        <v>20851.830000000002</v>
      </c>
      <c r="T12" s="54">
        <v>-23.155932</v>
      </c>
      <c r="U12" s="53">
        <v>31942.39</v>
      </c>
      <c r="V12" s="54">
        <v>53.187466000000001</v>
      </c>
      <c r="W12" s="53">
        <v>31727.27</v>
      </c>
      <c r="X12" s="54">
        <v>-0.67346200000000001</v>
      </c>
    </row>
    <row r="13" spans="1:28" ht="15.65" customHeight="1">
      <c r="A13" s="51"/>
      <c r="B13" s="55"/>
      <c r="C13" s="55"/>
      <c r="D13" s="55"/>
      <c r="E13" s="55"/>
      <c r="F13" s="265" t="s">
        <v>158</v>
      </c>
      <c r="G13" s="265"/>
      <c r="H13" s="265"/>
      <c r="I13" s="265"/>
      <c r="J13" s="265"/>
      <c r="K13" s="265"/>
      <c r="L13" s="265"/>
      <c r="M13" s="265"/>
      <c r="N13" s="52"/>
      <c r="O13" s="53">
        <v>8197.3700000000008</v>
      </c>
      <c r="P13" s="54">
        <v>-5.0887589999999996</v>
      </c>
      <c r="Q13" s="53">
        <v>8774.76</v>
      </c>
      <c r="R13" s="54">
        <v>7.0436009999999998</v>
      </c>
      <c r="S13" s="53">
        <v>6521.13</v>
      </c>
      <c r="T13" s="54">
        <v>-25.683095999999999</v>
      </c>
      <c r="U13" s="53">
        <v>6178.72</v>
      </c>
      <c r="V13" s="54">
        <v>-5.2507770000000002</v>
      </c>
      <c r="W13" s="53">
        <v>9067.7800000000007</v>
      </c>
      <c r="X13" s="54">
        <v>46.758228000000003</v>
      </c>
    </row>
    <row r="14" spans="1:28" ht="15.65" customHeight="1" thickBot="1">
      <c r="A14" s="51"/>
      <c r="B14" s="55"/>
      <c r="C14" s="55"/>
      <c r="D14" s="55"/>
      <c r="E14" s="55"/>
      <c r="F14" s="265" t="s">
        <v>159</v>
      </c>
      <c r="G14" s="265"/>
      <c r="H14" s="265"/>
      <c r="I14" s="265"/>
      <c r="J14" s="265"/>
      <c r="K14" s="265"/>
      <c r="L14" s="265"/>
      <c r="M14" s="265"/>
      <c r="N14" s="52"/>
      <c r="O14" s="53">
        <v>2274.25</v>
      </c>
      <c r="P14" s="54">
        <v>4.3899549999999996</v>
      </c>
      <c r="Q14" s="53">
        <v>2746.24</v>
      </c>
      <c r="R14" s="54">
        <v>20.753654999999998</v>
      </c>
      <c r="S14" s="53">
        <v>2509.2600000000002</v>
      </c>
      <c r="T14" s="54">
        <v>-8.6292530000000003</v>
      </c>
      <c r="U14" s="53">
        <v>2230.98</v>
      </c>
      <c r="V14" s="54">
        <v>-11.090121999999999</v>
      </c>
      <c r="W14" s="53">
        <v>2811.42</v>
      </c>
      <c r="X14" s="54">
        <v>26.017265999999999</v>
      </c>
    </row>
    <row r="15" spans="1:28" ht="31.5" customHeight="1">
      <c r="A15" s="56"/>
      <c r="B15" s="270" t="s">
        <v>160</v>
      </c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57"/>
      <c r="O15" s="58"/>
      <c r="P15" s="59"/>
      <c r="Q15" s="58"/>
      <c r="R15" s="59"/>
      <c r="S15" s="58"/>
      <c r="T15" s="59"/>
      <c r="U15" s="58"/>
      <c r="V15" s="59"/>
      <c r="W15" s="58"/>
      <c r="X15" s="59"/>
    </row>
    <row r="16" spans="1:28" ht="26.15" customHeight="1">
      <c r="A16" s="60"/>
      <c r="B16" s="61"/>
      <c r="C16" s="61"/>
      <c r="D16" s="268" t="s">
        <v>161</v>
      </c>
      <c r="E16" s="268"/>
      <c r="F16" s="268"/>
      <c r="G16" s="268"/>
      <c r="H16" s="268"/>
      <c r="I16" s="268"/>
      <c r="J16" s="268"/>
      <c r="K16" s="268"/>
      <c r="L16" s="268"/>
      <c r="M16" s="268"/>
      <c r="N16" s="52"/>
      <c r="O16" s="53"/>
      <c r="P16" s="54"/>
      <c r="Q16" s="53"/>
      <c r="R16" s="54"/>
      <c r="S16" s="53"/>
      <c r="T16" s="54"/>
      <c r="U16" s="53"/>
      <c r="V16" s="54"/>
      <c r="W16" s="53"/>
      <c r="X16" s="54"/>
    </row>
    <row r="17" spans="1:29" ht="26.15" customHeight="1">
      <c r="A17" s="60"/>
      <c r="B17" s="61"/>
      <c r="C17" s="61"/>
      <c r="D17" s="61"/>
      <c r="E17" s="61"/>
      <c r="F17" s="268" t="s">
        <v>0</v>
      </c>
      <c r="G17" s="268"/>
      <c r="H17" s="268"/>
      <c r="I17" s="268"/>
      <c r="J17" s="268"/>
      <c r="K17" s="268"/>
      <c r="L17" s="268"/>
      <c r="M17" s="268"/>
      <c r="N17" s="52"/>
      <c r="O17" s="53">
        <v>575595.06000000006</v>
      </c>
      <c r="P17" s="54">
        <v>9.0929199999999994</v>
      </c>
      <c r="Q17" s="53">
        <v>580407.06000000006</v>
      </c>
      <c r="R17" s="54">
        <v>0.83600399999999997</v>
      </c>
      <c r="S17" s="53">
        <v>501637.92</v>
      </c>
      <c r="T17" s="54">
        <v>-13.571361</v>
      </c>
      <c r="U17" s="53">
        <v>465809.79</v>
      </c>
      <c r="V17" s="54">
        <v>-7.1422290000000004</v>
      </c>
      <c r="W17" s="53">
        <v>601712.64000000001</v>
      </c>
      <c r="X17" s="54">
        <v>29.175609999999999</v>
      </c>
    </row>
    <row r="18" spans="1:29" ht="26.15" customHeight="1">
      <c r="A18" s="60"/>
      <c r="B18" s="61"/>
      <c r="C18" s="61"/>
      <c r="D18" s="61"/>
      <c r="E18" s="61"/>
      <c r="F18" s="268" t="s">
        <v>162</v>
      </c>
      <c r="G18" s="268"/>
      <c r="H18" s="268"/>
      <c r="I18" s="268"/>
      <c r="J18" s="268"/>
      <c r="K18" s="268"/>
      <c r="L18" s="268"/>
      <c r="M18" s="268"/>
      <c r="N18" s="52"/>
      <c r="O18" s="53">
        <v>135837.81</v>
      </c>
      <c r="P18" s="54">
        <v>15.929503</v>
      </c>
      <c r="Q18" s="53">
        <v>142647.20000000001</v>
      </c>
      <c r="R18" s="54">
        <v>5.0128830000000004</v>
      </c>
      <c r="S18" s="53">
        <v>121086.22</v>
      </c>
      <c r="T18" s="54">
        <v>-15.114898999999999</v>
      </c>
      <c r="U18" s="53">
        <v>109060.55</v>
      </c>
      <c r="V18" s="54">
        <v>-9.9314929999999997</v>
      </c>
      <c r="W18" s="53">
        <v>148678.48000000001</v>
      </c>
      <c r="X18" s="54">
        <v>36.326545000000003</v>
      </c>
    </row>
    <row r="19" spans="1:29" ht="26.15" customHeight="1">
      <c r="A19" s="60"/>
      <c r="B19" s="61"/>
      <c r="C19" s="61"/>
      <c r="D19" s="61"/>
      <c r="E19" s="61"/>
      <c r="F19" s="268" t="s">
        <v>163</v>
      </c>
      <c r="G19" s="268"/>
      <c r="H19" s="268"/>
      <c r="I19" s="268"/>
      <c r="J19" s="268"/>
      <c r="K19" s="268"/>
      <c r="L19" s="268"/>
      <c r="M19" s="268"/>
      <c r="N19" s="52"/>
      <c r="O19" s="53">
        <v>213483.78</v>
      </c>
      <c r="P19" s="54">
        <v>12.920881</v>
      </c>
      <c r="Q19" s="53">
        <v>189993.60000000001</v>
      </c>
      <c r="R19" s="54">
        <v>-11.003311999999999</v>
      </c>
      <c r="S19" s="53">
        <v>158973.39000000001</v>
      </c>
      <c r="T19" s="54">
        <v>-16.326975999999998</v>
      </c>
      <c r="U19" s="53">
        <v>130395.71</v>
      </c>
      <c r="V19" s="54">
        <v>-17.976150000000001</v>
      </c>
      <c r="W19" s="53">
        <v>184820.26</v>
      </c>
      <c r="X19" s="54">
        <v>41.737991000000001</v>
      </c>
    </row>
    <row r="20" spans="1:29" ht="26.15" customHeight="1" thickBot="1">
      <c r="A20" s="62"/>
      <c r="B20" s="63"/>
      <c r="C20" s="63"/>
      <c r="D20" s="63"/>
      <c r="E20" s="63"/>
      <c r="F20" s="269" t="s">
        <v>164</v>
      </c>
      <c r="G20" s="269"/>
      <c r="H20" s="269"/>
      <c r="I20" s="269"/>
      <c r="J20" s="269"/>
      <c r="K20" s="269"/>
      <c r="L20" s="269"/>
      <c r="M20" s="269"/>
      <c r="N20" s="64"/>
      <c r="O20" s="65">
        <v>37847.43</v>
      </c>
      <c r="P20" s="66">
        <v>17.654174000000001</v>
      </c>
      <c r="Q20" s="65">
        <v>39246.910000000003</v>
      </c>
      <c r="R20" s="66">
        <v>3.6980170000000001</v>
      </c>
      <c r="S20" s="65">
        <v>30211.99</v>
      </c>
      <c r="T20" s="66">
        <v>-23.020717000000001</v>
      </c>
      <c r="U20" s="65">
        <v>28432.91</v>
      </c>
      <c r="V20" s="66">
        <v>-5.888655</v>
      </c>
      <c r="W20" s="65">
        <v>28978.41</v>
      </c>
      <c r="X20" s="66">
        <v>1.9185509999999999</v>
      </c>
    </row>
    <row r="21" spans="1:29" ht="26.15" customHeight="1">
      <c r="A21" s="60"/>
      <c r="B21" s="268" t="s">
        <v>165</v>
      </c>
      <c r="C21" s="268"/>
      <c r="D21" s="268"/>
      <c r="E21" s="268"/>
      <c r="F21" s="268"/>
      <c r="G21" s="268"/>
      <c r="H21" s="268"/>
      <c r="I21" s="268"/>
      <c r="J21" s="268"/>
      <c r="K21" s="268"/>
      <c r="L21" s="268"/>
      <c r="M21" s="268"/>
      <c r="N21" s="52"/>
      <c r="O21" s="53"/>
      <c r="P21" s="54"/>
      <c r="Q21" s="53"/>
      <c r="R21" s="54"/>
      <c r="S21" s="53"/>
      <c r="T21" s="54"/>
      <c r="U21" s="53"/>
      <c r="V21" s="54"/>
      <c r="W21" s="53"/>
      <c r="X21" s="54"/>
    </row>
    <row r="22" spans="1:29" ht="26.15" customHeight="1">
      <c r="A22" s="60"/>
      <c r="B22" s="61"/>
      <c r="C22" s="61"/>
      <c r="D22" s="268" t="s">
        <v>166</v>
      </c>
      <c r="E22" s="268"/>
      <c r="F22" s="268"/>
      <c r="G22" s="268"/>
      <c r="H22" s="268"/>
      <c r="I22" s="268"/>
      <c r="J22" s="268"/>
      <c r="K22" s="268"/>
      <c r="L22" s="268"/>
      <c r="M22" s="268"/>
      <c r="N22" s="52"/>
      <c r="O22" s="53"/>
      <c r="P22" s="54"/>
      <c r="Q22" s="53"/>
      <c r="R22" s="54"/>
      <c r="S22" s="53"/>
      <c r="T22" s="54"/>
      <c r="U22" s="53"/>
      <c r="V22" s="54"/>
      <c r="W22" s="53"/>
      <c r="X22" s="54"/>
    </row>
    <row r="23" spans="1:29" ht="26.15" customHeight="1">
      <c r="A23" s="60"/>
      <c r="B23" s="61"/>
      <c r="C23" s="61"/>
      <c r="D23" s="61"/>
      <c r="E23" s="61"/>
      <c r="F23" s="268" t="s">
        <v>167</v>
      </c>
      <c r="G23" s="268"/>
      <c r="H23" s="268"/>
      <c r="I23" s="268"/>
      <c r="J23" s="268"/>
      <c r="K23" s="268"/>
      <c r="L23" s="268"/>
      <c r="M23" s="268"/>
      <c r="N23" s="52"/>
      <c r="O23" s="53">
        <v>112596.97</v>
      </c>
      <c r="P23" s="54">
        <v>9.0062599999999993</v>
      </c>
      <c r="Q23" s="53">
        <v>98028.6</v>
      </c>
      <c r="R23" s="54">
        <v>-12.938510000000001</v>
      </c>
      <c r="S23" s="53">
        <v>84642.72</v>
      </c>
      <c r="T23" s="54">
        <v>-13.655075999999999</v>
      </c>
      <c r="U23" s="53">
        <v>95104.42</v>
      </c>
      <c r="V23" s="54">
        <v>12.359833999999999</v>
      </c>
      <c r="W23" s="53">
        <v>106371.15</v>
      </c>
      <c r="X23" s="54">
        <v>11.846693999999999</v>
      </c>
    </row>
    <row r="24" spans="1:29" ht="26.15" customHeight="1">
      <c r="A24" s="60"/>
      <c r="B24" s="61"/>
      <c r="C24" s="61"/>
      <c r="D24" s="61"/>
      <c r="E24" s="61"/>
      <c r="F24" s="268" t="s">
        <v>168</v>
      </c>
      <c r="G24" s="268"/>
      <c r="H24" s="268"/>
      <c r="I24" s="268"/>
      <c r="J24" s="268"/>
      <c r="K24" s="268"/>
      <c r="L24" s="268"/>
      <c r="M24" s="268"/>
      <c r="N24" s="52"/>
      <c r="O24" s="53">
        <v>5793.06</v>
      </c>
      <c r="P24" s="54">
        <v>7.2657790000000002</v>
      </c>
      <c r="Q24" s="53">
        <v>6029.99</v>
      </c>
      <c r="R24" s="54">
        <v>4.0898940000000001</v>
      </c>
      <c r="S24" s="53">
        <v>5780.36</v>
      </c>
      <c r="T24" s="54">
        <v>-4.1398080000000004</v>
      </c>
      <c r="U24" s="53">
        <v>4838.8900000000003</v>
      </c>
      <c r="V24" s="54">
        <v>-16.2942</v>
      </c>
      <c r="W24" s="53">
        <v>8478.93</v>
      </c>
      <c r="X24" s="54">
        <v>75.224689999999995</v>
      </c>
    </row>
    <row r="25" spans="1:29" ht="26.15" customHeight="1">
      <c r="A25" s="60"/>
      <c r="B25" s="61"/>
      <c r="C25" s="61"/>
      <c r="D25" s="61"/>
      <c r="E25" s="61"/>
      <c r="F25" s="268" t="s">
        <v>169</v>
      </c>
      <c r="G25" s="268"/>
      <c r="H25" s="268"/>
      <c r="I25" s="268"/>
      <c r="J25" s="268"/>
      <c r="K25" s="268"/>
      <c r="L25" s="268"/>
      <c r="M25" s="268"/>
      <c r="N25" s="52"/>
      <c r="O25" s="53">
        <v>6600.32</v>
      </c>
      <c r="P25" s="54">
        <v>1.696712</v>
      </c>
      <c r="Q25" s="53">
        <v>6205.08</v>
      </c>
      <c r="R25" s="54">
        <v>-5.9899040000000001</v>
      </c>
      <c r="S25" s="53">
        <v>4535.66</v>
      </c>
      <c r="T25" s="54">
        <v>-26.904084999999998</v>
      </c>
      <c r="U25" s="53">
        <v>4353.21</v>
      </c>
      <c r="V25" s="54">
        <v>-4.0126210000000002</v>
      </c>
      <c r="W25" s="53">
        <v>5717.55</v>
      </c>
      <c r="X25" s="54">
        <v>31.341010000000001</v>
      </c>
    </row>
    <row r="26" spans="1:29" ht="26.15" customHeight="1" thickBot="1">
      <c r="A26" s="62"/>
      <c r="B26" s="63"/>
      <c r="C26" s="63"/>
      <c r="D26" s="63"/>
      <c r="E26" s="63"/>
      <c r="F26" s="269" t="s">
        <v>170</v>
      </c>
      <c r="G26" s="269"/>
      <c r="H26" s="269"/>
      <c r="I26" s="269"/>
      <c r="J26" s="269"/>
      <c r="K26" s="269"/>
      <c r="L26" s="269"/>
      <c r="M26" s="269"/>
      <c r="N26" s="64"/>
      <c r="O26" s="65">
        <v>2230.7800000000002</v>
      </c>
      <c r="P26" s="66">
        <v>132.45524499999999</v>
      </c>
      <c r="Q26" s="65">
        <v>2854.45</v>
      </c>
      <c r="R26" s="66">
        <v>27.964369000000001</v>
      </c>
      <c r="S26" s="65">
        <v>2565.7600000000002</v>
      </c>
      <c r="T26" s="66">
        <v>-10.113682000000001</v>
      </c>
      <c r="U26" s="65">
        <v>864.66</v>
      </c>
      <c r="V26" s="66">
        <v>-66.300044</v>
      </c>
      <c r="W26" s="65">
        <v>4375.63</v>
      </c>
      <c r="X26" s="66">
        <v>406.05209000000002</v>
      </c>
    </row>
    <row r="27" spans="1:29" ht="13.5" customHeight="1">
      <c r="A27" s="272" t="s">
        <v>171</v>
      </c>
      <c r="B27" s="272"/>
      <c r="C27" s="272"/>
      <c r="D27" s="272"/>
      <c r="E27" s="272"/>
      <c r="F27" s="272"/>
      <c r="G27" s="67"/>
      <c r="H27" s="68" t="s">
        <v>172</v>
      </c>
      <c r="I27" s="273" t="s">
        <v>173</v>
      </c>
      <c r="J27" s="273"/>
      <c r="K27" s="273"/>
      <c r="L27" s="273"/>
      <c r="M27" s="273"/>
      <c r="N27" s="273"/>
      <c r="O27" s="273"/>
      <c r="P27" s="273"/>
      <c r="Q27" s="273"/>
      <c r="R27" s="273"/>
      <c r="S27" s="273"/>
      <c r="T27" s="273"/>
      <c r="U27" s="273"/>
      <c r="V27" s="273"/>
      <c r="W27" s="273"/>
      <c r="X27" s="273"/>
      <c r="Y27" s="273"/>
      <c r="Z27" s="273"/>
      <c r="AA27" s="273"/>
      <c r="AB27" s="273"/>
      <c r="AC27" s="69"/>
    </row>
    <row r="28" spans="1:29" ht="13.5" customHeight="1">
      <c r="A28" s="67"/>
      <c r="B28" s="67"/>
      <c r="C28" s="67"/>
      <c r="D28" s="71"/>
      <c r="E28" s="67"/>
      <c r="F28" s="67"/>
      <c r="G28" s="67"/>
      <c r="H28" s="68" t="s">
        <v>2</v>
      </c>
      <c r="I28" s="273" t="s">
        <v>174</v>
      </c>
      <c r="J28" s="273"/>
      <c r="K28" s="273"/>
      <c r="L28" s="273"/>
      <c r="M28" s="273"/>
      <c r="N28" s="273"/>
      <c r="O28" s="273"/>
      <c r="P28" s="273"/>
      <c r="Q28" s="273"/>
      <c r="R28" s="273"/>
      <c r="S28" s="273"/>
      <c r="T28" s="273"/>
      <c r="U28" s="273"/>
      <c r="V28" s="273"/>
      <c r="W28" s="273"/>
      <c r="X28" s="273"/>
      <c r="Y28" s="273"/>
      <c r="Z28" s="273"/>
      <c r="AA28" s="273"/>
      <c r="AB28" s="273"/>
      <c r="AC28" s="69"/>
    </row>
    <row r="29" spans="1:29" ht="13.5" customHeight="1">
      <c r="A29" s="67"/>
      <c r="B29" s="67"/>
      <c r="C29" s="67"/>
      <c r="D29" s="71"/>
      <c r="E29" s="67"/>
      <c r="F29" s="67"/>
      <c r="G29" s="67"/>
      <c r="H29" s="68" t="s">
        <v>295</v>
      </c>
      <c r="I29" s="273" t="s">
        <v>175</v>
      </c>
      <c r="J29" s="273"/>
      <c r="K29" s="273"/>
      <c r="L29" s="273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3"/>
      <c r="Y29" s="273"/>
      <c r="Z29" s="273"/>
      <c r="AA29" s="273"/>
      <c r="AB29" s="273"/>
      <c r="AC29" s="69"/>
    </row>
    <row r="30" spans="1:29" ht="13.5" customHeight="1">
      <c r="A30" s="67"/>
      <c r="B30" s="67"/>
      <c r="C30" s="67"/>
      <c r="D30" s="71"/>
      <c r="E30" s="67"/>
      <c r="F30" s="67"/>
      <c r="G30" s="67"/>
      <c r="H30" s="68"/>
      <c r="I30" s="273" t="s">
        <v>176</v>
      </c>
      <c r="J30" s="273"/>
      <c r="K30" s="273"/>
      <c r="L30" s="273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3"/>
      <c r="Y30" s="273"/>
      <c r="Z30" s="273"/>
      <c r="AA30" s="273"/>
      <c r="AB30" s="273"/>
      <c r="AC30" s="69"/>
    </row>
    <row r="31" spans="1:29" ht="13.5" customHeight="1">
      <c r="A31" s="67"/>
      <c r="B31" s="67"/>
      <c r="C31" s="67"/>
      <c r="D31" s="71"/>
      <c r="E31" s="67"/>
      <c r="F31" s="67"/>
      <c r="G31" s="67"/>
      <c r="H31" s="68" t="s">
        <v>296</v>
      </c>
      <c r="I31" s="273" t="s">
        <v>177</v>
      </c>
      <c r="J31" s="273"/>
      <c r="K31" s="273"/>
      <c r="L31" s="273"/>
      <c r="M31" s="273"/>
      <c r="N31" s="273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  <c r="AA31" s="273"/>
      <c r="AB31" s="273"/>
      <c r="AC31" s="69"/>
    </row>
    <row r="32" spans="1:29" ht="13.5" customHeight="1">
      <c r="A32" s="67"/>
      <c r="B32" s="67"/>
      <c r="C32" s="67"/>
      <c r="D32" s="67"/>
      <c r="E32" s="67"/>
      <c r="F32" s="67"/>
      <c r="G32" s="67"/>
      <c r="H32" s="68"/>
      <c r="I32" s="273" t="s">
        <v>178</v>
      </c>
      <c r="J32" s="273"/>
      <c r="K32" s="273"/>
      <c r="L32" s="273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3"/>
      <c r="AA32" s="273"/>
      <c r="AB32" s="273"/>
      <c r="AC32" s="69"/>
    </row>
  </sheetData>
  <mergeCells count="41">
    <mergeCell ref="I30:AB30"/>
    <mergeCell ref="I31:AB31"/>
    <mergeCell ref="I32:AB32"/>
    <mergeCell ref="I28:AB28"/>
    <mergeCell ref="I29:AB29"/>
    <mergeCell ref="F25:M25"/>
    <mergeCell ref="F26:M26"/>
    <mergeCell ref="A27:F27"/>
    <mergeCell ref="I27:AB27"/>
    <mergeCell ref="B21:M21"/>
    <mergeCell ref="D22:M22"/>
    <mergeCell ref="F23:M23"/>
    <mergeCell ref="F24:M24"/>
    <mergeCell ref="F17:M17"/>
    <mergeCell ref="F18:M18"/>
    <mergeCell ref="F19:M19"/>
    <mergeCell ref="F20:M20"/>
    <mergeCell ref="F13:M13"/>
    <mergeCell ref="F14:M14"/>
    <mergeCell ref="B15:M15"/>
    <mergeCell ref="D16:M16"/>
    <mergeCell ref="F9:M9"/>
    <mergeCell ref="F10:M10"/>
    <mergeCell ref="F11:M11"/>
    <mergeCell ref="F12:M12"/>
    <mergeCell ref="X4:X5"/>
    <mergeCell ref="B6:M6"/>
    <mergeCell ref="D7:M7"/>
    <mergeCell ref="F8:M8"/>
    <mergeCell ref="U3:U5"/>
    <mergeCell ref="V4:V5"/>
    <mergeCell ref="W2:X2"/>
    <mergeCell ref="O3:O5"/>
    <mergeCell ref="A1:AB1"/>
    <mergeCell ref="A3:N5"/>
    <mergeCell ref="R4:R5"/>
    <mergeCell ref="T4:T5"/>
    <mergeCell ref="P4:P5"/>
    <mergeCell ref="S3:S5"/>
    <mergeCell ref="Q3:Q5"/>
    <mergeCell ref="W3:W5"/>
  </mergeCells>
  <phoneticPr fontId="2"/>
  <printOptions horizontalCentered="1"/>
  <pageMargins left="0.78740157480314965" right="0.78740157480314965" top="0.98425196850393704" bottom="0.47244094488188981" header="0.51181102362204722" footer="0.19685039370078741"/>
  <pageSetup paperSize="9" scale="83" orientation="landscape" horizontalDpi="300" verticalDpi="300" r:id="rId1"/>
  <headerFooter alignWithMargins="0"/>
  <ignoredErrors>
    <ignoredError sqref="H27 H30 W4:W5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B721-6AF3-442E-9DE7-3F11A70C2505}">
  <sheetPr>
    <tabColor rgb="FFFFC000"/>
    <pageSetUpPr fitToPage="1"/>
  </sheetPr>
  <dimension ref="A1:N83"/>
  <sheetViews>
    <sheetView view="pageBreakPreview" zoomScaleNormal="100" zoomScaleSheetLayoutView="100" workbookViewId="0"/>
  </sheetViews>
  <sheetFormatPr defaultColWidth="9" defaultRowHeight="11"/>
  <cols>
    <col min="1" max="2" width="1.6328125" style="72" customWidth="1"/>
    <col min="3" max="3" width="26.6328125" style="72" customWidth="1"/>
    <col min="4" max="4" width="1.6328125" style="72" customWidth="1"/>
    <col min="5" max="5" width="13" style="72" customWidth="1"/>
    <col min="6" max="6" width="9.6328125" style="72" customWidth="1"/>
    <col min="7" max="7" width="13" style="72" customWidth="1"/>
    <col min="8" max="8" width="9.6328125" style="72" customWidth="1"/>
    <col min="9" max="9" width="13" style="72" customWidth="1"/>
    <col min="10" max="10" width="9.6328125" style="72" customWidth="1"/>
    <col min="11" max="11" width="13" style="72" customWidth="1"/>
    <col min="12" max="12" width="9.6328125" style="72" customWidth="1"/>
    <col min="13" max="13" width="13" style="72" customWidth="1"/>
    <col min="14" max="14" width="9.6328125" style="72" customWidth="1"/>
    <col min="15" max="16384" width="9" style="72"/>
  </cols>
  <sheetData>
    <row r="1" spans="1:14" ht="19">
      <c r="A1" s="279" t="s">
        <v>273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</row>
    <row r="2" spans="1:14" ht="19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</row>
    <row r="3" spans="1:14" ht="15" customHeight="1">
      <c r="A3" s="74"/>
      <c r="B3" s="74"/>
      <c r="C3" s="74"/>
      <c r="D3" s="74"/>
      <c r="E3" s="74"/>
      <c r="F3" s="74"/>
      <c r="G3" s="74"/>
      <c r="H3" s="74"/>
      <c r="I3" s="289" t="s">
        <v>3</v>
      </c>
      <c r="J3" s="289"/>
      <c r="K3" s="289"/>
      <c r="L3" s="289"/>
      <c r="M3" s="289"/>
      <c r="N3" s="289"/>
    </row>
    <row r="4" spans="1:14" ht="17.149999999999999" customHeight="1">
      <c r="A4" s="281" t="s">
        <v>179</v>
      </c>
      <c r="B4" s="282"/>
      <c r="C4" s="282"/>
      <c r="D4" s="283"/>
      <c r="E4" s="287">
        <v>2017</v>
      </c>
      <c r="F4" s="160"/>
      <c r="G4" s="287">
        <v>2018</v>
      </c>
      <c r="H4" s="160"/>
      <c r="I4" s="287">
        <v>2019</v>
      </c>
      <c r="J4" s="160"/>
      <c r="K4" s="287">
        <v>2020</v>
      </c>
      <c r="L4" s="160"/>
      <c r="M4" s="287">
        <v>2021</v>
      </c>
      <c r="N4" s="160"/>
    </row>
    <row r="5" spans="1:14" ht="22" customHeight="1">
      <c r="A5" s="284"/>
      <c r="B5" s="285"/>
      <c r="C5" s="285"/>
      <c r="D5" s="286"/>
      <c r="E5" s="288"/>
      <c r="F5" s="75" t="s">
        <v>62</v>
      </c>
      <c r="G5" s="288"/>
      <c r="H5" s="75" t="s">
        <v>62</v>
      </c>
      <c r="I5" s="288"/>
      <c r="J5" s="75" t="s">
        <v>62</v>
      </c>
      <c r="K5" s="288"/>
      <c r="L5" s="75" t="s">
        <v>62</v>
      </c>
      <c r="M5" s="288"/>
      <c r="N5" s="75" t="s">
        <v>62</v>
      </c>
    </row>
    <row r="6" spans="1:14" s="76" customFormat="1" ht="24" customHeight="1">
      <c r="A6" s="274" t="s">
        <v>151</v>
      </c>
      <c r="B6" s="275"/>
      <c r="C6" s="275"/>
      <c r="E6" s="77"/>
      <c r="F6" s="78"/>
      <c r="G6" s="77"/>
      <c r="H6" s="78"/>
      <c r="I6" s="77"/>
      <c r="J6" s="78"/>
      <c r="K6" s="77"/>
      <c r="L6" s="78"/>
      <c r="M6" s="77"/>
      <c r="N6" s="78"/>
    </row>
    <row r="7" spans="1:14" s="76" customFormat="1" ht="24" customHeight="1">
      <c r="A7" s="79"/>
      <c r="B7" s="276" t="s">
        <v>180</v>
      </c>
      <c r="C7" s="276"/>
      <c r="E7" s="80">
        <v>703904.52</v>
      </c>
      <c r="F7" s="81">
        <v>100</v>
      </c>
      <c r="G7" s="80">
        <v>693592.18</v>
      </c>
      <c r="H7" s="81">
        <v>100</v>
      </c>
      <c r="I7" s="80">
        <v>506274.3</v>
      </c>
      <c r="J7" s="81">
        <v>100</v>
      </c>
      <c r="K7" s="80">
        <v>457048.33</v>
      </c>
      <c r="L7" s="81">
        <v>100</v>
      </c>
      <c r="M7" s="80">
        <v>715817.8</v>
      </c>
      <c r="N7" s="81">
        <v>100</v>
      </c>
    </row>
    <row r="8" spans="1:14" s="76" customFormat="1" ht="24" customHeight="1">
      <c r="A8" s="82"/>
      <c r="B8" s="83"/>
      <c r="C8" s="86" t="s">
        <v>291</v>
      </c>
      <c r="D8" s="83"/>
      <c r="E8" s="84">
        <v>282726.75</v>
      </c>
      <c r="F8" s="85">
        <v>40.165497161461609</v>
      </c>
      <c r="G8" s="84">
        <v>309964.58</v>
      </c>
      <c r="H8" s="85">
        <v>44.689745492805294</v>
      </c>
      <c r="I8" s="84">
        <v>284126.15999999997</v>
      </c>
      <c r="J8" s="85">
        <v>56.120992118304244</v>
      </c>
      <c r="K8" s="84">
        <v>312043.14</v>
      </c>
      <c r="L8" s="85">
        <v>68.273554352556104</v>
      </c>
      <c r="M8" s="84">
        <v>355715.4</v>
      </c>
      <c r="N8" s="85">
        <v>49.693567273683328</v>
      </c>
    </row>
    <row r="9" spans="1:14" s="76" customFormat="1" ht="24" customHeight="1">
      <c r="A9" s="277" t="s">
        <v>181</v>
      </c>
      <c r="B9" s="278"/>
      <c r="C9" s="278"/>
      <c r="E9" s="80"/>
      <c r="F9" s="81"/>
      <c r="G9" s="80"/>
      <c r="H9" s="81"/>
      <c r="I9" s="80"/>
      <c r="J9" s="81"/>
      <c r="K9" s="80"/>
      <c r="L9" s="81"/>
      <c r="M9" s="80"/>
      <c r="N9" s="81"/>
    </row>
    <row r="10" spans="1:14" s="76" customFormat="1" ht="24" customHeight="1">
      <c r="A10" s="79"/>
      <c r="B10" s="276" t="s">
        <v>180</v>
      </c>
      <c r="C10" s="276"/>
      <c r="E10" s="80">
        <v>89197.9</v>
      </c>
      <c r="F10" s="81">
        <v>100</v>
      </c>
      <c r="G10" s="80">
        <v>73291.98</v>
      </c>
      <c r="H10" s="81">
        <v>100</v>
      </c>
      <c r="I10" s="80">
        <v>56644.58</v>
      </c>
      <c r="J10" s="81">
        <v>100</v>
      </c>
      <c r="K10" s="80">
        <v>71691.73</v>
      </c>
      <c r="L10" s="81">
        <v>100</v>
      </c>
      <c r="M10" s="80">
        <v>85747.09</v>
      </c>
      <c r="N10" s="81">
        <v>100</v>
      </c>
    </row>
    <row r="11" spans="1:14" s="76" customFormat="1" ht="24" customHeight="1">
      <c r="A11" s="82"/>
      <c r="B11" s="83"/>
      <c r="C11" s="86" t="s">
        <v>291</v>
      </c>
      <c r="D11" s="83"/>
      <c r="E11" s="84">
        <v>49545.02</v>
      </c>
      <c r="F11" s="85">
        <v>55.545052069611501</v>
      </c>
      <c r="G11" s="84">
        <v>47896.25</v>
      </c>
      <c r="H11" s="85">
        <v>65.349919595568309</v>
      </c>
      <c r="I11" s="84">
        <v>40175.14</v>
      </c>
      <c r="J11" s="85">
        <v>70.924949924600028</v>
      </c>
      <c r="K11" s="84">
        <v>49606.400000000001</v>
      </c>
      <c r="L11" s="85">
        <v>69.194033956217822</v>
      </c>
      <c r="M11" s="84">
        <v>57065.95</v>
      </c>
      <c r="N11" s="85">
        <v>66.551471309405358</v>
      </c>
    </row>
    <row r="12" spans="1:14" s="76" customFormat="1" ht="12.75" customHeight="1">
      <c r="E12" s="87"/>
      <c r="G12" s="87"/>
      <c r="I12" s="87"/>
      <c r="K12" s="87"/>
      <c r="M12" s="87"/>
    </row>
    <row r="13" spans="1:14" ht="12" customHeight="1">
      <c r="A13" s="17" t="s">
        <v>300</v>
      </c>
      <c r="B13" s="18"/>
      <c r="C13" s="2"/>
      <c r="D13" s="18"/>
      <c r="E13" s="2"/>
      <c r="F13" s="18"/>
      <c r="G13" s="2"/>
      <c r="H13" s="18"/>
      <c r="I13" s="2"/>
      <c r="J13" s="18"/>
      <c r="K13" s="2"/>
      <c r="L13" s="18"/>
      <c r="M13" s="2"/>
      <c r="N13" s="18"/>
    </row>
    <row r="14" spans="1:14" ht="12" customHeight="1">
      <c r="A14" s="20" t="s">
        <v>317</v>
      </c>
      <c r="B14" s="18"/>
      <c r="C14" s="2"/>
      <c r="D14" s="18"/>
      <c r="E14" s="2"/>
      <c r="F14" s="18"/>
      <c r="G14" s="2"/>
      <c r="H14" s="18"/>
      <c r="I14" s="2"/>
      <c r="J14" s="18"/>
      <c r="K14" s="2"/>
      <c r="L14" s="18"/>
      <c r="M14" s="2"/>
      <c r="N14" s="18"/>
    </row>
    <row r="15" spans="1:14" ht="11.9" customHeight="1">
      <c r="A15" s="20" t="s">
        <v>302</v>
      </c>
      <c r="B15" s="18"/>
      <c r="C15" s="2"/>
      <c r="D15" s="18"/>
      <c r="E15" s="2"/>
      <c r="F15" s="18"/>
      <c r="G15" s="2"/>
      <c r="H15" s="18"/>
      <c r="I15" s="2"/>
      <c r="J15" s="18"/>
      <c r="K15" s="2"/>
      <c r="L15" s="18"/>
      <c r="M15" s="2"/>
      <c r="N15" s="18"/>
    </row>
    <row r="16" spans="1:14" ht="11.9" customHeight="1">
      <c r="E16" s="88"/>
      <c r="G16" s="88"/>
      <c r="I16" s="88"/>
      <c r="K16" s="88"/>
      <c r="M16" s="88"/>
    </row>
    <row r="17" spans="5:13" ht="11.9" customHeight="1">
      <c r="E17" s="88"/>
      <c r="G17" s="88"/>
      <c r="I17" s="88"/>
      <c r="K17" s="88"/>
      <c r="M17" s="88"/>
    </row>
    <row r="18" spans="5:13" ht="11.9" customHeight="1">
      <c r="E18" s="88"/>
      <c r="G18" s="88"/>
      <c r="I18" s="88"/>
      <c r="K18" s="88"/>
      <c r="M18" s="88"/>
    </row>
    <row r="19" spans="5:13" ht="11.9" customHeight="1">
      <c r="E19" s="88"/>
      <c r="G19" s="88"/>
      <c r="I19" s="88"/>
      <c r="K19" s="88"/>
      <c r="M19" s="88"/>
    </row>
    <row r="20" spans="5:13" ht="11.9" customHeight="1">
      <c r="E20" s="88"/>
      <c r="G20" s="88"/>
      <c r="I20" s="88"/>
      <c r="K20" s="88"/>
      <c r="M20" s="88"/>
    </row>
    <row r="21" spans="5:13" ht="11.9" customHeight="1">
      <c r="E21" s="88"/>
      <c r="G21" s="88"/>
      <c r="I21" s="88"/>
      <c r="K21" s="88"/>
      <c r="M21" s="88"/>
    </row>
    <row r="22" spans="5:13" ht="11.9" customHeight="1">
      <c r="E22" s="88"/>
      <c r="G22" s="88"/>
      <c r="I22" s="88"/>
      <c r="K22" s="88"/>
      <c r="M22" s="88"/>
    </row>
    <row r="23" spans="5:13" ht="11.9" customHeight="1">
      <c r="E23" s="88"/>
      <c r="G23" s="88"/>
      <c r="I23" s="88"/>
      <c r="K23" s="88"/>
      <c r="M23" s="88"/>
    </row>
    <row r="24" spans="5:13" ht="11.9" customHeight="1">
      <c r="E24" s="88"/>
      <c r="G24" s="88"/>
      <c r="I24" s="88"/>
      <c r="K24" s="88"/>
      <c r="M24" s="88"/>
    </row>
    <row r="25" spans="5:13" ht="11.9" customHeight="1">
      <c r="E25" s="88"/>
      <c r="G25" s="88"/>
      <c r="I25" s="88"/>
      <c r="K25" s="88"/>
      <c r="M25" s="88"/>
    </row>
    <row r="26" spans="5:13" ht="11.9" customHeight="1">
      <c r="E26" s="88"/>
      <c r="G26" s="88"/>
      <c r="I26" s="88"/>
      <c r="K26" s="88"/>
      <c r="M26" s="88"/>
    </row>
    <row r="27" spans="5:13" ht="11.9" customHeight="1">
      <c r="E27" s="88"/>
      <c r="G27" s="88"/>
      <c r="I27" s="88"/>
      <c r="K27" s="88"/>
      <c r="M27" s="88"/>
    </row>
    <row r="28" spans="5:13" ht="11.9" customHeight="1">
      <c r="E28" s="88"/>
      <c r="G28" s="88"/>
      <c r="I28" s="88"/>
      <c r="K28" s="88"/>
      <c r="M28" s="88"/>
    </row>
    <row r="29" spans="5:13" ht="11.9" customHeight="1">
      <c r="E29" s="88"/>
      <c r="G29" s="88"/>
      <c r="I29" s="88"/>
      <c r="K29" s="88"/>
      <c r="M29" s="88"/>
    </row>
    <row r="30" spans="5:13" ht="11.9" customHeight="1">
      <c r="E30" s="88"/>
      <c r="G30" s="88"/>
      <c r="I30" s="88"/>
      <c r="K30" s="88"/>
      <c r="M30" s="88"/>
    </row>
    <row r="31" spans="5:13" ht="11.9" customHeight="1"/>
    <row r="32" spans="5:13" ht="11.9" customHeight="1"/>
    <row r="33" ht="11.9" customHeight="1"/>
    <row r="34" ht="11.9" customHeight="1"/>
    <row r="35" ht="11.9" customHeight="1"/>
    <row r="36" ht="11.9" customHeight="1"/>
    <row r="37" ht="11.9" customHeight="1"/>
    <row r="38" ht="11.9" customHeight="1"/>
    <row r="39" ht="11.9" customHeight="1"/>
    <row r="40" ht="11.9" customHeight="1"/>
    <row r="41" ht="11.9" customHeight="1"/>
    <row r="42" ht="11.9" customHeight="1"/>
    <row r="43" ht="11.9" customHeight="1"/>
    <row r="44" ht="11.9" customHeight="1"/>
    <row r="45" ht="11.9" customHeight="1"/>
    <row r="46" ht="11.9" customHeight="1"/>
    <row r="47" ht="11.9" customHeight="1"/>
    <row r="48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71" spans="5:13">
      <c r="E71" s="88"/>
      <c r="G71" s="88"/>
      <c r="I71" s="88"/>
      <c r="K71" s="88"/>
      <c r="M71" s="88"/>
    </row>
    <row r="72" spans="5:13">
      <c r="E72" s="88"/>
      <c r="G72" s="88"/>
      <c r="I72" s="88"/>
      <c r="K72" s="88"/>
      <c r="M72" s="88"/>
    </row>
    <row r="73" spans="5:13">
      <c r="E73" s="88"/>
      <c r="G73" s="88"/>
      <c r="I73" s="88"/>
      <c r="K73" s="88"/>
      <c r="M73" s="88"/>
    </row>
    <row r="74" spans="5:13">
      <c r="E74" s="88"/>
      <c r="G74" s="88"/>
      <c r="I74" s="88"/>
      <c r="K74" s="88"/>
      <c r="M74" s="88"/>
    </row>
    <row r="75" spans="5:13">
      <c r="E75" s="88"/>
      <c r="G75" s="88"/>
      <c r="I75" s="88"/>
      <c r="K75" s="88"/>
      <c r="M75" s="88"/>
    </row>
    <row r="76" spans="5:13">
      <c r="E76" s="88"/>
      <c r="G76" s="88"/>
      <c r="I76" s="88"/>
      <c r="K76" s="88"/>
      <c r="M76" s="88"/>
    </row>
    <row r="77" spans="5:13">
      <c r="E77" s="88"/>
      <c r="G77" s="88"/>
      <c r="I77" s="88"/>
      <c r="K77" s="88"/>
      <c r="M77" s="88"/>
    </row>
    <row r="78" spans="5:13">
      <c r="E78" s="88"/>
      <c r="G78" s="88"/>
      <c r="I78" s="88"/>
      <c r="K78" s="88"/>
      <c r="M78" s="88"/>
    </row>
    <row r="79" spans="5:13">
      <c r="E79" s="88"/>
      <c r="G79" s="88"/>
      <c r="I79" s="88"/>
      <c r="K79" s="88"/>
      <c r="M79" s="88"/>
    </row>
    <row r="80" spans="5:13">
      <c r="E80" s="88"/>
      <c r="G80" s="88"/>
      <c r="I80" s="88"/>
      <c r="K80" s="88"/>
      <c r="M80" s="88"/>
    </row>
    <row r="81" spans="5:13">
      <c r="E81" s="88"/>
      <c r="G81" s="88"/>
      <c r="I81" s="88"/>
      <c r="K81" s="88"/>
      <c r="M81" s="88"/>
    </row>
    <row r="82" spans="5:13">
      <c r="E82" s="88"/>
      <c r="G82" s="88"/>
      <c r="I82" s="88"/>
      <c r="K82" s="88"/>
      <c r="M82" s="88"/>
    </row>
    <row r="83" spans="5:13">
      <c r="E83" s="88"/>
      <c r="G83" s="88"/>
      <c r="I83" s="88"/>
      <c r="K83" s="88"/>
      <c r="M83" s="88"/>
    </row>
  </sheetData>
  <mergeCells count="12">
    <mergeCell ref="A6:C6"/>
    <mergeCell ref="B7:C7"/>
    <mergeCell ref="A9:C9"/>
    <mergeCell ref="B10:C10"/>
    <mergeCell ref="A1:N1"/>
    <mergeCell ref="A4:D5"/>
    <mergeCell ref="E4:E5"/>
    <mergeCell ref="I4:I5"/>
    <mergeCell ref="G4:G5"/>
    <mergeCell ref="M4:M5"/>
    <mergeCell ref="I3:N3"/>
    <mergeCell ref="K4:K5"/>
  </mergeCells>
  <phoneticPr fontId="2"/>
  <printOptions horizontalCentered="1"/>
  <pageMargins left="0.78740157480314965" right="0.78740157480314965" top="0.98425196850393704" bottom="0.47244094488188981" header="0.51181102362204722" footer="0.19685039370078741"/>
  <pageSetup paperSize="9" scale="91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10E7-6E39-44D2-BBB4-D2CF602FC60C}">
  <sheetPr>
    <tabColor rgb="FFFFC000"/>
    <pageSetUpPr fitToPage="1"/>
  </sheetPr>
  <dimension ref="A1:Q24"/>
  <sheetViews>
    <sheetView view="pageBreakPreview" zoomScaleNormal="100" zoomScaleSheetLayoutView="100" workbookViewId="0"/>
  </sheetViews>
  <sheetFormatPr defaultRowHeight="13"/>
  <cols>
    <col min="1" max="1" width="28" bestFit="1" customWidth="1"/>
    <col min="2" max="2" width="11.6328125" customWidth="1"/>
    <col min="4" max="4" width="11.6328125" customWidth="1"/>
    <col min="6" max="6" width="11.6328125" customWidth="1"/>
    <col min="8" max="8" width="11.6328125" customWidth="1"/>
    <col min="10" max="10" width="11.6328125" customWidth="1"/>
  </cols>
  <sheetData>
    <row r="1" spans="1:11" ht="24" customHeight="1">
      <c r="A1" s="1"/>
      <c r="B1" s="1"/>
      <c r="C1" s="1"/>
      <c r="D1" s="1" t="s">
        <v>274</v>
      </c>
      <c r="E1" s="1"/>
      <c r="F1" s="1"/>
      <c r="G1" s="1"/>
      <c r="H1" s="1"/>
      <c r="I1" s="1"/>
      <c r="J1" s="1"/>
      <c r="K1" s="1"/>
    </row>
    <row r="2" spans="1:11" ht="24" customHeight="1" thickBot="1">
      <c r="A2" s="166"/>
      <c r="B2" s="167"/>
      <c r="C2" s="167"/>
      <c r="D2" s="166"/>
      <c r="E2" s="167"/>
      <c r="F2" s="167"/>
      <c r="G2" s="167"/>
      <c r="H2" s="167"/>
      <c r="I2" s="167"/>
      <c r="J2" s="167"/>
      <c r="K2" s="3" t="s">
        <v>3</v>
      </c>
    </row>
    <row r="3" spans="1:11" ht="24" customHeight="1" thickBot="1">
      <c r="A3" s="230" t="s">
        <v>254</v>
      </c>
      <c r="B3" s="228">
        <v>2017</v>
      </c>
      <c r="C3" s="184"/>
      <c r="D3" s="228">
        <v>2018</v>
      </c>
      <c r="E3" s="184"/>
      <c r="F3" s="228">
        <v>2019</v>
      </c>
      <c r="G3" s="184"/>
      <c r="H3" s="228">
        <v>2020</v>
      </c>
      <c r="I3" s="184"/>
      <c r="J3" s="228">
        <v>2021</v>
      </c>
      <c r="K3" s="184"/>
    </row>
    <row r="4" spans="1:11" ht="24" customHeight="1" thickBot="1">
      <c r="A4" s="231"/>
      <c r="B4" s="229"/>
      <c r="C4" s="170" t="s">
        <v>7</v>
      </c>
      <c r="D4" s="229"/>
      <c r="E4" s="170" t="s">
        <v>7</v>
      </c>
      <c r="F4" s="229"/>
      <c r="G4" s="170" t="s">
        <v>7</v>
      </c>
      <c r="H4" s="229"/>
      <c r="I4" s="170" t="s">
        <v>7</v>
      </c>
      <c r="J4" s="229"/>
      <c r="K4" s="170" t="s">
        <v>252</v>
      </c>
    </row>
    <row r="5" spans="1:11" ht="34.5" customHeight="1">
      <c r="A5" s="177" t="s">
        <v>151</v>
      </c>
      <c r="B5" s="209">
        <v>5074454</v>
      </c>
      <c r="C5" s="174">
        <v>10.167598687138552</v>
      </c>
      <c r="D5" s="187">
        <v>5260166</v>
      </c>
      <c r="E5" s="174">
        <f>(D5-B5)/B5*100</f>
        <v>3.6597434916150586</v>
      </c>
      <c r="F5" s="187">
        <v>5385772</v>
      </c>
      <c r="G5" s="174">
        <f>(F5-D5)/D5*100</f>
        <v>2.3878714093813769</v>
      </c>
      <c r="H5" s="187">
        <v>5507192</v>
      </c>
      <c r="I5" s="174">
        <f>(H5-F5)/F5*100</f>
        <v>2.2544585994356985</v>
      </c>
      <c r="J5" s="187">
        <v>5850535</v>
      </c>
      <c r="K5" s="174">
        <f>(J5-H5)/H5*100</f>
        <v>6.2344476095985035</v>
      </c>
    </row>
    <row r="6" spans="1:11" ht="24" customHeight="1" thickBot="1">
      <c r="A6" s="178" t="s">
        <v>287</v>
      </c>
      <c r="B6" s="210">
        <v>609610</v>
      </c>
      <c r="C6" s="185">
        <v>12.107029561859225</v>
      </c>
      <c r="D6" s="186">
        <v>628859</v>
      </c>
      <c r="E6" s="185">
        <f>(D6-B6)/B6*100</f>
        <v>3.157592559177179</v>
      </c>
      <c r="F6" s="186">
        <v>635612</v>
      </c>
      <c r="G6" s="185">
        <f>(F6-D6)/D6*100</f>
        <v>1.0738496228884378</v>
      </c>
      <c r="H6" s="186">
        <v>663544</v>
      </c>
      <c r="I6" s="185">
        <f>(H6-F6)/F6*100</f>
        <v>4.394504823697476</v>
      </c>
      <c r="J6" s="186">
        <v>685785</v>
      </c>
      <c r="K6" s="185">
        <f>(J6-H6)/H6*100</f>
        <v>3.3518500657077754</v>
      </c>
    </row>
    <row r="7" spans="1:11" ht="24" customHeight="1">
      <c r="A7" s="179" t="s">
        <v>280</v>
      </c>
      <c r="B7" s="211"/>
      <c r="C7" s="175"/>
      <c r="D7" s="188"/>
      <c r="E7" s="175"/>
      <c r="F7" s="188"/>
      <c r="G7" s="175"/>
      <c r="H7" s="188"/>
      <c r="I7" s="175"/>
      <c r="J7" s="188"/>
      <c r="K7" s="175"/>
    </row>
    <row r="8" spans="1:11" ht="24" customHeight="1">
      <c r="A8" s="180" t="s">
        <v>281</v>
      </c>
      <c r="B8" s="211"/>
      <c r="C8" s="175"/>
      <c r="D8" s="188"/>
      <c r="E8" s="175"/>
      <c r="F8" s="188"/>
      <c r="G8" s="175"/>
      <c r="H8" s="188"/>
      <c r="I8" s="175"/>
      <c r="J8" s="188"/>
      <c r="K8" s="175"/>
    </row>
    <row r="9" spans="1:11" ht="24" customHeight="1">
      <c r="A9" s="181" t="s">
        <v>282</v>
      </c>
      <c r="B9" s="211">
        <v>2696141</v>
      </c>
      <c r="C9" s="175">
        <v>9.9226952809507321</v>
      </c>
      <c r="D9" s="188">
        <v>2886059</v>
      </c>
      <c r="E9" s="175">
        <f>(D9-B9)/B9*100</f>
        <v>7.0440677991247496</v>
      </c>
      <c r="F9" s="188">
        <v>2932340</v>
      </c>
      <c r="G9" s="175">
        <f>(F9-D9)/D9*100</f>
        <v>1.6036054702970384</v>
      </c>
      <c r="H9" s="188">
        <v>3007314</v>
      </c>
      <c r="I9" s="175">
        <f>(H9-F9)/F9*100</f>
        <v>2.5567976428381431</v>
      </c>
      <c r="J9" s="188">
        <v>3165616</v>
      </c>
      <c r="K9" s="175">
        <f>(J9-H9)/H9*100</f>
        <v>5.2638999452667727</v>
      </c>
    </row>
    <row r="10" spans="1:11" ht="24" customHeight="1">
      <c r="A10" s="181" t="s">
        <v>283</v>
      </c>
      <c r="B10" s="211">
        <v>681958</v>
      </c>
      <c r="C10" s="175">
        <v>8.790737222283374</v>
      </c>
      <c r="D10" s="188">
        <v>736900</v>
      </c>
      <c r="E10" s="175">
        <f>(D10-B10)/B10*100</f>
        <v>8.0565078787843234</v>
      </c>
      <c r="F10" s="188">
        <v>752183</v>
      </c>
      <c r="G10" s="175">
        <f>(F10-D10)/D10*100</f>
        <v>2.073958474691274</v>
      </c>
      <c r="H10" s="188">
        <v>752929</v>
      </c>
      <c r="I10" s="175">
        <f>(H10-F10)/F10*100</f>
        <v>9.9177992589569289E-2</v>
      </c>
      <c r="J10" s="188">
        <v>838877</v>
      </c>
      <c r="K10" s="175">
        <f>(J10-H10)/H10*100</f>
        <v>11.415153354433153</v>
      </c>
    </row>
    <row r="11" spans="1:11" ht="24" customHeight="1">
      <c r="A11" s="181" t="s">
        <v>284</v>
      </c>
      <c r="B11" s="211">
        <v>1530896</v>
      </c>
      <c r="C11" s="175">
        <v>9.6987129051998284</v>
      </c>
      <c r="D11" s="188">
        <v>1505518</v>
      </c>
      <c r="E11" s="175">
        <f>(D11-B11)/B11*100</f>
        <v>-1.6577220137749396</v>
      </c>
      <c r="F11" s="188">
        <v>1567618</v>
      </c>
      <c r="G11" s="175">
        <f>(F11-D11)/D11*100</f>
        <v>4.1248261395745516</v>
      </c>
      <c r="H11" s="188">
        <v>1558968</v>
      </c>
      <c r="I11" s="175">
        <f>(H11-F11)/F11*100</f>
        <v>-0.55179259232797784</v>
      </c>
      <c r="J11" s="188">
        <v>1659943</v>
      </c>
      <c r="K11" s="175">
        <f>(J11-H11)/H11*100</f>
        <v>6.4770412221418274</v>
      </c>
    </row>
    <row r="12" spans="1:11" ht="24" customHeight="1" thickBot="1">
      <c r="A12" s="178" t="s">
        <v>285</v>
      </c>
      <c r="B12" s="210">
        <v>165459</v>
      </c>
      <c r="C12" s="185">
        <v>26.340264044042971</v>
      </c>
      <c r="D12" s="186">
        <v>131690</v>
      </c>
      <c r="E12" s="185">
        <f>(D12-B12)/B12*100</f>
        <v>-20.409285684066745</v>
      </c>
      <c r="F12" s="186">
        <v>133631</v>
      </c>
      <c r="G12" s="185">
        <f>(F12-D12)/D12*100</f>
        <v>1.4739160148834383</v>
      </c>
      <c r="H12" s="186">
        <v>187982</v>
      </c>
      <c r="I12" s="185">
        <f>(H12-F12)/F12*100</f>
        <v>40.672448758147432</v>
      </c>
      <c r="J12" s="186">
        <v>186098</v>
      </c>
      <c r="K12" s="185">
        <f>(J12-H12)/H12*100</f>
        <v>-1.002223617154834</v>
      </c>
    </row>
    <row r="13" spans="1:11" ht="24" customHeight="1">
      <c r="A13" s="179" t="s">
        <v>286</v>
      </c>
      <c r="B13" s="211"/>
      <c r="C13" s="175"/>
      <c r="D13" s="188"/>
      <c r="E13" s="175"/>
      <c r="F13" s="188"/>
      <c r="G13" s="175"/>
      <c r="H13" s="188"/>
      <c r="I13" s="175"/>
      <c r="J13" s="188"/>
      <c r="K13" s="175"/>
    </row>
    <row r="14" spans="1:11" ht="24" customHeight="1">
      <c r="A14" s="180" t="s">
        <v>281</v>
      </c>
      <c r="B14" s="211"/>
      <c r="C14" s="175"/>
      <c r="D14" s="188"/>
      <c r="E14" s="175"/>
      <c r="F14" s="188"/>
      <c r="G14" s="175"/>
      <c r="H14" s="188"/>
      <c r="I14" s="175"/>
      <c r="J14" s="188"/>
      <c r="K14" s="175"/>
    </row>
    <row r="15" spans="1:11" ht="24" customHeight="1">
      <c r="A15" s="181" t="s">
        <v>282</v>
      </c>
      <c r="B15" s="211">
        <v>530088</v>
      </c>
      <c r="C15" s="175">
        <v>7.5921028328560149</v>
      </c>
      <c r="D15" s="188">
        <v>545156</v>
      </c>
      <c r="E15" s="175">
        <f>(D15-B15)/B15*100</f>
        <v>2.8425468978735604</v>
      </c>
      <c r="F15" s="188">
        <v>556518</v>
      </c>
      <c r="G15" s="175">
        <f>(F15-D15)/D15*100</f>
        <v>2.0841740712750112</v>
      </c>
      <c r="H15" s="188">
        <v>586585</v>
      </c>
      <c r="I15" s="175">
        <f>(H15-F15)/F15*100</f>
        <v>5.4027003618930562</v>
      </c>
      <c r="J15" s="188">
        <v>601367</v>
      </c>
      <c r="K15" s="175">
        <f>(J15-H15)/H15*100</f>
        <v>2.5200098877400547</v>
      </c>
    </row>
    <row r="16" spans="1:11" ht="24" customHeight="1">
      <c r="A16" s="181" t="s">
        <v>283</v>
      </c>
      <c r="B16" s="211">
        <v>38728</v>
      </c>
      <c r="C16" s="175">
        <v>7.0603195665395031</v>
      </c>
      <c r="D16" s="188">
        <v>41004</v>
      </c>
      <c r="E16" s="175">
        <f>(D16-B16)/B16*100</f>
        <v>5.8768849411278659</v>
      </c>
      <c r="F16" s="188">
        <v>43233</v>
      </c>
      <c r="G16" s="175">
        <f>(F16-D16)/D16*100</f>
        <v>5.4360550190225343</v>
      </c>
      <c r="H16" s="188">
        <v>41202</v>
      </c>
      <c r="I16" s="175">
        <f>(H16-F16)/F16*100</f>
        <v>-4.6978002914440351</v>
      </c>
      <c r="J16" s="188">
        <v>44552</v>
      </c>
      <c r="K16" s="175">
        <f>(J16-H16)/H16*100</f>
        <v>8.1306732682879463</v>
      </c>
    </row>
    <row r="17" spans="1:17" ht="24" customHeight="1">
      <c r="A17" s="181" t="s">
        <v>284</v>
      </c>
      <c r="B17" s="211">
        <v>34092</v>
      </c>
      <c r="C17" s="175">
        <v>125.34205829863177</v>
      </c>
      <c r="D17" s="188">
        <v>41451</v>
      </c>
      <c r="E17" s="175">
        <f>(D17-B17)/B17*100</f>
        <v>21.585709257303769</v>
      </c>
      <c r="F17" s="188">
        <v>32350</v>
      </c>
      <c r="G17" s="175">
        <f>(F17-D17)/D17*100</f>
        <v>-21.956044486260886</v>
      </c>
      <c r="H17" s="188">
        <v>28060</v>
      </c>
      <c r="I17" s="175">
        <f>(H17-F17)/F17*100</f>
        <v>-13.261205564142195</v>
      </c>
      <c r="J17" s="188">
        <v>27535</v>
      </c>
      <c r="K17" s="175">
        <f>(J17-H17)/H17*100</f>
        <v>-1.8709907341411263</v>
      </c>
    </row>
    <row r="18" spans="1:17" ht="24" customHeight="1" thickBot="1">
      <c r="A18" s="178" t="s">
        <v>285</v>
      </c>
      <c r="B18" s="210">
        <v>6701</v>
      </c>
      <c r="C18" s="172" t="s">
        <v>36</v>
      </c>
      <c r="D18" s="186">
        <v>1247</v>
      </c>
      <c r="E18" s="175">
        <f>(D18-B18)/B18*100</f>
        <v>-81.390837188479338</v>
      </c>
      <c r="F18" s="186">
        <v>3512</v>
      </c>
      <c r="G18" s="175">
        <f>(F18-D18)/D18*100</f>
        <v>181.63592622293504</v>
      </c>
      <c r="H18" s="186">
        <v>7696</v>
      </c>
      <c r="I18" s="175">
        <f>(H18-F18)/F18*100</f>
        <v>119.13439635535308</v>
      </c>
      <c r="J18" s="186">
        <v>12331</v>
      </c>
      <c r="K18" s="175">
        <f>(J18-H18)/H18*100</f>
        <v>60.226091476091483</v>
      </c>
    </row>
    <row r="19" spans="1:17" ht="7.5" customHeight="1">
      <c r="A19" s="182"/>
      <c r="B19" s="182"/>
      <c r="C19" s="182"/>
      <c r="D19" s="182"/>
      <c r="E19" s="182"/>
      <c r="F19" s="182"/>
      <c r="G19" s="182"/>
      <c r="H19" s="182"/>
      <c r="I19" s="182"/>
      <c r="J19" s="182"/>
      <c r="K19" s="182"/>
    </row>
    <row r="20" spans="1:17" ht="7.5" customHeight="1">
      <c r="A20" s="176"/>
      <c r="B20" s="176"/>
      <c r="C20" s="176"/>
      <c r="D20" s="176"/>
      <c r="E20" s="176"/>
      <c r="F20" s="176"/>
      <c r="G20" s="176"/>
      <c r="H20" s="176"/>
      <c r="I20" s="176"/>
      <c r="J20" s="176"/>
      <c r="K20" s="176"/>
    </row>
    <row r="21" spans="1:17">
      <c r="A21" s="189" t="s">
        <v>292</v>
      </c>
    </row>
    <row r="22" spans="1:17">
      <c r="A22" s="189" t="s">
        <v>301</v>
      </c>
    </row>
    <row r="24" spans="1:17">
      <c r="B24" s="68"/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3"/>
      <c r="Q24" s="273"/>
    </row>
  </sheetData>
  <mergeCells count="7">
    <mergeCell ref="H3:H4"/>
    <mergeCell ref="J3:J4"/>
    <mergeCell ref="C24:Q24"/>
    <mergeCell ref="A3:A4"/>
    <mergeCell ref="B3:B4"/>
    <mergeCell ref="D3:D4"/>
    <mergeCell ref="F3:F4"/>
  </mergeCells>
  <phoneticPr fontId="2"/>
  <printOptions horizontalCentered="1"/>
  <pageMargins left="0.78740157480314965" right="0.78740157480314965" top="0.98425196850393704" bottom="0.47244094488188981" header="0.51181102362204722" footer="0.19685039370078741"/>
  <pageSetup paperSize="9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B6C5D-59D9-460F-A631-03685DD30E4C}">
  <sheetPr>
    <tabColor rgb="FFFFC000"/>
    <pageSetUpPr fitToPage="1"/>
  </sheetPr>
  <dimension ref="A1:AF38"/>
  <sheetViews>
    <sheetView view="pageBreakPreview" zoomScaleNormal="100" zoomScaleSheetLayoutView="100" workbookViewId="0"/>
  </sheetViews>
  <sheetFormatPr defaultColWidth="8" defaultRowHeight="12"/>
  <cols>
    <col min="1" max="7" width="0.6328125" style="89" customWidth="1"/>
    <col min="8" max="8" width="1.6328125" style="89" customWidth="1"/>
    <col min="9" max="12" width="0.6328125" style="89" customWidth="1"/>
    <col min="13" max="13" width="25.6328125" style="89" customWidth="1"/>
    <col min="14" max="14" width="0.6328125" style="89" customWidth="1"/>
    <col min="15" max="15" width="12.6328125" style="89" customWidth="1"/>
    <col min="16" max="16" width="10.6328125" style="89" customWidth="1"/>
    <col min="17" max="17" width="12.6328125" style="89" customWidth="1"/>
    <col min="18" max="18" width="10.6328125" style="89" customWidth="1"/>
    <col min="19" max="19" width="12.6328125" style="89" customWidth="1"/>
    <col min="20" max="20" width="10.6328125" style="89" customWidth="1"/>
    <col min="21" max="21" width="12.6328125" style="89" customWidth="1"/>
    <col min="22" max="22" width="10.6328125" style="89" customWidth="1"/>
    <col min="23" max="23" width="12.6328125" style="89" customWidth="1"/>
    <col min="24" max="24" width="10.6328125" style="89" customWidth="1"/>
    <col min="25" max="25" width="0.36328125" style="89" customWidth="1"/>
    <col min="26" max="26" width="10.6328125" style="89" hidden="1" customWidth="1"/>
    <col min="27" max="27" width="12.6328125" style="89" hidden="1" customWidth="1"/>
    <col min="28" max="28" width="10.6328125" style="89" hidden="1" customWidth="1"/>
    <col min="29" max="77" width="9" style="89" customWidth="1"/>
    <col min="78" max="16384" width="8" style="89"/>
  </cols>
  <sheetData>
    <row r="1" spans="1:28" ht="18.75" customHeight="1">
      <c r="A1" s="279" t="s">
        <v>275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</row>
    <row r="2" spans="1:28" ht="15" customHeight="1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1"/>
      <c r="Q2" s="90"/>
      <c r="R2" s="91"/>
      <c r="S2" s="90"/>
      <c r="T2" s="91"/>
      <c r="V2" s="91"/>
      <c r="X2" s="91" t="s">
        <v>3</v>
      </c>
    </row>
    <row r="3" spans="1:28" ht="15" customHeight="1">
      <c r="A3" s="295" t="s">
        <v>182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2">
        <v>2017</v>
      </c>
      <c r="P3" s="92"/>
      <c r="Q3" s="292">
        <v>2018</v>
      </c>
      <c r="R3" s="92"/>
      <c r="S3" s="292">
        <v>2019</v>
      </c>
      <c r="T3" s="92"/>
      <c r="U3" s="292">
        <v>2020</v>
      </c>
      <c r="V3" s="92"/>
      <c r="W3" s="292">
        <v>2021</v>
      </c>
      <c r="X3" s="92"/>
    </row>
    <row r="4" spans="1:28" ht="15" customHeight="1">
      <c r="A4" s="297"/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9"/>
      <c r="O4" s="293"/>
      <c r="P4" s="303" t="s">
        <v>150</v>
      </c>
      <c r="Q4" s="293"/>
      <c r="R4" s="303" t="s">
        <v>150</v>
      </c>
      <c r="S4" s="293"/>
      <c r="T4" s="303" t="s">
        <v>150</v>
      </c>
      <c r="U4" s="293"/>
      <c r="V4" s="303" t="s">
        <v>150</v>
      </c>
      <c r="W4" s="293"/>
      <c r="X4" s="303" t="s">
        <v>183</v>
      </c>
    </row>
    <row r="5" spans="1:28" ht="12" customHeight="1">
      <c r="A5" s="300"/>
      <c r="B5" s="301"/>
      <c r="C5" s="301"/>
      <c r="D5" s="301"/>
      <c r="E5" s="301"/>
      <c r="F5" s="301"/>
      <c r="G5" s="301"/>
      <c r="H5" s="301"/>
      <c r="I5" s="301"/>
      <c r="J5" s="301"/>
      <c r="K5" s="301"/>
      <c r="L5" s="301"/>
      <c r="M5" s="301"/>
      <c r="N5" s="302"/>
      <c r="O5" s="294"/>
      <c r="P5" s="305"/>
      <c r="Q5" s="294"/>
      <c r="R5" s="305"/>
      <c r="S5" s="294"/>
      <c r="T5" s="305"/>
      <c r="U5" s="294"/>
      <c r="V5" s="304"/>
      <c r="W5" s="294"/>
      <c r="X5" s="304"/>
    </row>
    <row r="6" spans="1:28" ht="25" customHeight="1">
      <c r="A6" s="93"/>
      <c r="B6" s="306" t="s">
        <v>277</v>
      </c>
      <c r="C6" s="306"/>
      <c r="D6" s="306"/>
      <c r="E6" s="306"/>
      <c r="F6" s="306"/>
      <c r="G6" s="306"/>
      <c r="H6" s="306"/>
      <c r="I6" s="306"/>
      <c r="J6" s="306"/>
      <c r="K6" s="306"/>
      <c r="L6" s="306"/>
      <c r="M6" s="306"/>
      <c r="N6" s="94"/>
      <c r="O6" s="95">
        <v>474674.9</v>
      </c>
      <c r="P6" s="96">
        <v>5.9393139398267198</v>
      </c>
      <c r="Q6" s="95">
        <v>509118</v>
      </c>
      <c r="R6" s="96">
        <v>7.2561452059082896</v>
      </c>
      <c r="S6" s="205">
        <v>464698.25</v>
      </c>
      <c r="T6" s="206">
        <v>-8.7248437493861903</v>
      </c>
      <c r="U6" s="205">
        <v>441839.88</v>
      </c>
      <c r="V6" s="206">
        <v>-4.9189705362565901</v>
      </c>
      <c r="W6" s="205">
        <v>476786.17</v>
      </c>
      <c r="X6" s="206">
        <v>7.9092656824005996</v>
      </c>
    </row>
    <row r="7" spans="1:28" ht="15.65" customHeight="1">
      <c r="A7" s="93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4"/>
      <c r="O7" s="98">
        <v>472396.98</v>
      </c>
      <c r="P7" s="99">
        <v>6.3567499999999999</v>
      </c>
      <c r="Q7" s="98">
        <v>505579.6</v>
      </c>
      <c r="R7" s="99">
        <v>7.0243080000000004</v>
      </c>
      <c r="S7" s="207">
        <v>451369.15</v>
      </c>
      <c r="T7" s="208">
        <v>-10.722436</v>
      </c>
      <c r="U7" s="207">
        <v>430704.97</v>
      </c>
      <c r="V7" s="208">
        <v>-4.5781109999999998</v>
      </c>
      <c r="W7" s="207">
        <v>468011.05</v>
      </c>
      <c r="X7" s="208">
        <v>8.6616320000000009</v>
      </c>
    </row>
    <row r="8" spans="1:28" ht="15.65" customHeight="1">
      <c r="A8" s="93"/>
      <c r="B8" s="100"/>
      <c r="C8" s="100"/>
      <c r="D8" s="290" t="s">
        <v>278</v>
      </c>
      <c r="E8" s="290"/>
      <c r="F8" s="290"/>
      <c r="G8" s="290"/>
      <c r="H8" s="290"/>
      <c r="I8" s="290"/>
      <c r="J8" s="290"/>
      <c r="K8" s="290"/>
      <c r="L8" s="290"/>
      <c r="M8" s="290"/>
      <c r="N8" s="94"/>
      <c r="O8" s="95">
        <v>20199.45</v>
      </c>
      <c r="P8" s="96">
        <v>8.1182420000000004</v>
      </c>
      <c r="Q8" s="95">
        <v>17841.46</v>
      </c>
      <c r="R8" s="96">
        <v>-11.673536</v>
      </c>
      <c r="S8" s="205">
        <v>24304.48</v>
      </c>
      <c r="T8" s="206">
        <v>36.224725999999997</v>
      </c>
      <c r="U8" s="205">
        <v>23525.78</v>
      </c>
      <c r="V8" s="206">
        <v>-3.2039360000000001</v>
      </c>
      <c r="W8" s="205">
        <v>20173.29</v>
      </c>
      <c r="X8" s="206">
        <v>-14.250282</v>
      </c>
    </row>
    <row r="9" spans="1:28" ht="15.65" customHeight="1">
      <c r="A9" s="93"/>
      <c r="B9" s="100"/>
      <c r="C9" s="100"/>
      <c r="D9" s="101"/>
      <c r="E9" s="101"/>
      <c r="F9" s="100"/>
      <c r="G9" s="100"/>
      <c r="H9" s="100"/>
      <c r="I9" s="100"/>
      <c r="J9" s="100"/>
      <c r="K9" s="100"/>
      <c r="L9" s="100"/>
      <c r="M9" s="100"/>
      <c r="N9" s="94"/>
      <c r="O9" s="98">
        <v>18868.28</v>
      </c>
      <c r="P9" s="99">
        <v>9.2250619999999994</v>
      </c>
      <c r="Q9" s="98">
        <v>18223.55</v>
      </c>
      <c r="R9" s="99">
        <v>-3.4170050000000001</v>
      </c>
      <c r="S9" s="207">
        <v>19391.61</v>
      </c>
      <c r="T9" s="208">
        <v>6.409618</v>
      </c>
      <c r="U9" s="207">
        <v>20920.439999999999</v>
      </c>
      <c r="V9" s="208">
        <v>7.8839769999999998</v>
      </c>
      <c r="W9" s="207">
        <v>20306.060000000001</v>
      </c>
      <c r="X9" s="208">
        <v>-2.9367450000000002</v>
      </c>
    </row>
    <row r="10" spans="1:28" ht="15.65" customHeight="1">
      <c r="A10" s="93"/>
      <c r="B10" s="100"/>
      <c r="C10" s="100"/>
      <c r="D10" s="100"/>
      <c r="E10" s="100"/>
      <c r="F10" s="291" t="s">
        <v>184</v>
      </c>
      <c r="G10" s="291"/>
      <c r="H10" s="291"/>
      <c r="I10" s="291"/>
      <c r="J10" s="291"/>
      <c r="K10" s="291"/>
      <c r="L10" s="291"/>
      <c r="M10" s="291"/>
      <c r="N10" s="94"/>
      <c r="O10" s="95">
        <v>9392.56</v>
      </c>
      <c r="P10" s="96">
        <v>-5.4632199999999997</v>
      </c>
      <c r="Q10" s="95">
        <v>9038.24</v>
      </c>
      <c r="R10" s="96">
        <v>-3.7723469999999999</v>
      </c>
      <c r="S10" s="205">
        <v>11463.15</v>
      </c>
      <c r="T10" s="206">
        <v>26.829449</v>
      </c>
      <c r="U10" s="205">
        <v>10378.27</v>
      </c>
      <c r="V10" s="206">
        <v>-9.4640649999999997</v>
      </c>
      <c r="W10" s="205">
        <v>7471.79</v>
      </c>
      <c r="X10" s="206">
        <v>-28.005438000000002</v>
      </c>
    </row>
    <row r="11" spans="1:28" ht="15.65" customHeight="1">
      <c r="A11" s="93"/>
      <c r="B11" s="100"/>
      <c r="C11" s="100"/>
      <c r="D11" s="100"/>
      <c r="E11" s="100"/>
      <c r="F11" s="291" t="s">
        <v>185</v>
      </c>
      <c r="G11" s="291"/>
      <c r="H11" s="291"/>
      <c r="I11" s="291"/>
      <c r="J11" s="291"/>
      <c r="K11" s="291"/>
      <c r="L11" s="291"/>
      <c r="M11" s="291"/>
      <c r="N11" s="94"/>
      <c r="O11" s="95">
        <v>3656.24</v>
      </c>
      <c r="P11" s="96">
        <v>29.225439999999999</v>
      </c>
      <c r="Q11" s="95">
        <v>1195.6300000000001</v>
      </c>
      <c r="R11" s="96">
        <v>-67.298918999999998</v>
      </c>
      <c r="S11" s="205">
        <v>3504.56</v>
      </c>
      <c r="T11" s="206">
        <v>193.11409</v>
      </c>
      <c r="U11" s="205">
        <v>2860.99</v>
      </c>
      <c r="V11" s="206">
        <v>-18.363789000000001</v>
      </c>
      <c r="W11" s="205">
        <v>3592.97</v>
      </c>
      <c r="X11" s="206">
        <v>25.584849999999999</v>
      </c>
    </row>
    <row r="12" spans="1:28" ht="15.65" customHeight="1">
      <c r="A12" s="93"/>
      <c r="B12" s="100"/>
      <c r="C12" s="100"/>
      <c r="D12" s="100"/>
      <c r="E12" s="100"/>
      <c r="F12" s="291" t="s">
        <v>186</v>
      </c>
      <c r="G12" s="291"/>
      <c r="H12" s="291"/>
      <c r="I12" s="291"/>
      <c r="J12" s="291"/>
      <c r="K12" s="291"/>
      <c r="L12" s="291"/>
      <c r="M12" s="291"/>
      <c r="N12" s="94"/>
      <c r="O12" s="95">
        <v>1118.8599999999999</v>
      </c>
      <c r="P12" s="96">
        <v>-13.714815</v>
      </c>
      <c r="Q12" s="95">
        <v>1148.6199999999999</v>
      </c>
      <c r="R12" s="96">
        <v>2.65985</v>
      </c>
      <c r="S12" s="205">
        <v>1234.95</v>
      </c>
      <c r="T12" s="206">
        <v>7.5159760000000002</v>
      </c>
      <c r="U12" s="205">
        <v>1685.86</v>
      </c>
      <c r="V12" s="206">
        <v>36.512408999999998</v>
      </c>
      <c r="W12" s="205">
        <v>1312.01</v>
      </c>
      <c r="X12" s="206">
        <v>-22.175625</v>
      </c>
    </row>
    <row r="13" spans="1:28" ht="15.65" customHeight="1">
      <c r="A13" s="93"/>
      <c r="B13" s="100"/>
      <c r="C13" s="100"/>
      <c r="D13" s="100"/>
      <c r="E13" s="100"/>
      <c r="F13" s="291" t="s">
        <v>187</v>
      </c>
      <c r="G13" s="291"/>
      <c r="H13" s="291"/>
      <c r="I13" s="291"/>
      <c r="J13" s="291"/>
      <c r="K13" s="291"/>
      <c r="L13" s="291"/>
      <c r="M13" s="291"/>
      <c r="N13" s="94"/>
      <c r="O13" s="95">
        <v>623.53</v>
      </c>
      <c r="P13" s="96">
        <v>31.682541000000001</v>
      </c>
      <c r="Q13" s="95">
        <v>916.38</v>
      </c>
      <c r="R13" s="96">
        <v>46.966464999999999</v>
      </c>
      <c r="S13" s="205">
        <v>1440.66</v>
      </c>
      <c r="T13" s="206">
        <v>57.212074000000001</v>
      </c>
      <c r="U13" s="205">
        <v>1224.98</v>
      </c>
      <c r="V13" s="206">
        <v>-14.970916000000001</v>
      </c>
      <c r="W13" s="205">
        <v>1556.72</v>
      </c>
      <c r="X13" s="206">
        <v>27.081257999999998</v>
      </c>
    </row>
    <row r="14" spans="1:28" ht="15.65" customHeight="1">
      <c r="A14" s="93"/>
      <c r="B14" s="100"/>
      <c r="C14" s="100"/>
      <c r="D14" s="100"/>
      <c r="E14" s="100"/>
      <c r="F14" s="291" t="s">
        <v>188</v>
      </c>
      <c r="G14" s="291"/>
      <c r="H14" s="291"/>
      <c r="I14" s="291"/>
      <c r="J14" s="291"/>
      <c r="K14" s="291"/>
      <c r="L14" s="291"/>
      <c r="M14" s="291"/>
      <c r="N14" s="94"/>
      <c r="O14" s="95">
        <v>3673.93</v>
      </c>
      <c r="P14" s="96">
        <v>28.003024</v>
      </c>
      <c r="Q14" s="95">
        <v>3919.8</v>
      </c>
      <c r="R14" s="96">
        <v>6.6922889999999997</v>
      </c>
      <c r="S14" s="205">
        <v>4348.58</v>
      </c>
      <c r="T14" s="206">
        <v>10.938822999999999</v>
      </c>
      <c r="U14" s="205">
        <v>3620.6</v>
      </c>
      <c r="V14" s="206">
        <v>-16.740637</v>
      </c>
      <c r="W14" s="205">
        <v>3785.94</v>
      </c>
      <c r="X14" s="206">
        <v>4.5666460000000004</v>
      </c>
    </row>
    <row r="15" spans="1:28" ht="15.65" customHeight="1">
      <c r="A15" s="93"/>
      <c r="B15" s="100"/>
      <c r="C15" s="100"/>
      <c r="D15" s="100"/>
      <c r="E15" s="100"/>
      <c r="F15" s="291" t="s">
        <v>189</v>
      </c>
      <c r="G15" s="291"/>
      <c r="H15" s="291"/>
      <c r="I15" s="291"/>
      <c r="J15" s="291"/>
      <c r="K15" s="291"/>
      <c r="L15" s="291"/>
      <c r="M15" s="291"/>
      <c r="N15" s="94"/>
      <c r="O15" s="95">
        <v>998.67</v>
      </c>
      <c r="P15" s="96">
        <v>39.422580000000004</v>
      </c>
      <c r="Q15" s="95">
        <v>1011.04</v>
      </c>
      <c r="R15" s="96">
        <v>1.2386470000000001</v>
      </c>
      <c r="S15" s="205">
        <v>1617.38</v>
      </c>
      <c r="T15" s="206">
        <v>59.971910000000001</v>
      </c>
      <c r="U15" s="205">
        <v>2851.62</v>
      </c>
      <c r="V15" s="206">
        <v>76.311070999999998</v>
      </c>
      <c r="W15" s="205">
        <v>1653.26</v>
      </c>
      <c r="X15" s="206">
        <v>-42.023831999999999</v>
      </c>
    </row>
    <row r="16" spans="1:28" ht="15.65" customHeight="1">
      <c r="A16" s="93"/>
      <c r="B16" s="100"/>
      <c r="C16" s="100"/>
      <c r="D16" s="100"/>
      <c r="E16" s="100"/>
      <c r="F16" s="291" t="s">
        <v>159</v>
      </c>
      <c r="G16" s="291"/>
      <c r="H16" s="291"/>
      <c r="I16" s="291"/>
      <c r="J16" s="291"/>
      <c r="K16" s="291"/>
      <c r="L16" s="291"/>
      <c r="M16" s="291"/>
      <c r="N16" s="94"/>
      <c r="O16" s="95">
        <v>735.66</v>
      </c>
      <c r="P16" s="96">
        <v>31.051928</v>
      </c>
      <c r="Q16" s="95">
        <v>611.75</v>
      </c>
      <c r="R16" s="96">
        <v>-16.843378999999999</v>
      </c>
      <c r="S16" s="205">
        <v>695.2</v>
      </c>
      <c r="T16" s="206">
        <v>13.641192999999999</v>
      </c>
      <c r="U16" s="205">
        <v>903.46</v>
      </c>
      <c r="V16" s="206">
        <v>29.956847</v>
      </c>
      <c r="W16" s="205">
        <v>800.6</v>
      </c>
      <c r="X16" s="206">
        <v>-11.385119</v>
      </c>
    </row>
    <row r="17" spans="1:32" ht="27" customHeight="1">
      <c r="A17" s="102"/>
      <c r="B17" s="309" t="s">
        <v>279</v>
      </c>
      <c r="C17" s="309"/>
      <c r="D17" s="309"/>
      <c r="E17" s="309"/>
      <c r="F17" s="309"/>
      <c r="G17" s="309"/>
      <c r="H17" s="309"/>
      <c r="I17" s="309"/>
      <c r="J17" s="309"/>
      <c r="K17" s="309"/>
      <c r="L17" s="309"/>
      <c r="M17" s="309"/>
      <c r="N17" s="103"/>
      <c r="O17" s="104"/>
      <c r="P17" s="105"/>
      <c r="Q17" s="104"/>
      <c r="R17" s="105"/>
      <c r="S17" s="104"/>
      <c r="T17" s="105"/>
      <c r="U17" s="104"/>
      <c r="V17" s="105"/>
      <c r="W17" s="104"/>
      <c r="X17" s="105"/>
    </row>
    <row r="18" spans="1:32" ht="26.15" customHeight="1">
      <c r="A18" s="106"/>
      <c r="B18" s="107"/>
      <c r="C18" s="107"/>
      <c r="D18" s="307" t="s">
        <v>190</v>
      </c>
      <c r="E18" s="307"/>
      <c r="F18" s="307"/>
      <c r="G18" s="307"/>
      <c r="H18" s="307"/>
      <c r="I18" s="307"/>
      <c r="J18" s="307"/>
      <c r="K18" s="307"/>
      <c r="L18" s="307"/>
      <c r="M18" s="307"/>
      <c r="N18" s="94"/>
      <c r="O18" s="95"/>
      <c r="P18" s="96"/>
      <c r="Q18" s="95"/>
      <c r="R18" s="96"/>
      <c r="S18" s="95"/>
      <c r="T18" s="96"/>
      <c r="U18" s="95"/>
      <c r="V18" s="96"/>
      <c r="W18" s="95"/>
      <c r="X18" s="96"/>
    </row>
    <row r="19" spans="1:32" ht="26.15" customHeight="1">
      <c r="A19" s="106"/>
      <c r="B19" s="107"/>
      <c r="C19" s="107"/>
      <c r="D19" s="108"/>
      <c r="E19" s="108"/>
      <c r="F19" s="307" t="s">
        <v>191</v>
      </c>
      <c r="G19" s="307"/>
      <c r="H19" s="307"/>
      <c r="I19" s="307"/>
      <c r="J19" s="307"/>
      <c r="K19" s="307"/>
      <c r="L19" s="307"/>
      <c r="M19" s="307"/>
      <c r="N19" s="94"/>
      <c r="O19" s="95">
        <v>230528.63</v>
      </c>
      <c r="P19" s="96">
        <v>6.9390560193644601</v>
      </c>
      <c r="Q19" s="95">
        <v>265913.96999999997</v>
      </c>
      <c r="R19" s="96">
        <v>15.349650930558999</v>
      </c>
      <c r="S19" s="95">
        <v>240145.31</v>
      </c>
      <c r="T19" s="96">
        <v>-9.69060030956628</v>
      </c>
      <c r="U19" s="95">
        <v>234062.07999999999</v>
      </c>
      <c r="V19" s="96">
        <v>-2.5331454526428101</v>
      </c>
      <c r="W19" s="95">
        <v>235303.22</v>
      </c>
      <c r="X19" s="96">
        <v>0.53026103160323901</v>
      </c>
    </row>
    <row r="20" spans="1:32" ht="26.15" customHeight="1">
      <c r="A20" s="106"/>
      <c r="B20" s="107"/>
      <c r="C20" s="107"/>
      <c r="D20" s="108"/>
      <c r="E20" s="108"/>
      <c r="F20" s="307" t="s">
        <v>168</v>
      </c>
      <c r="G20" s="307"/>
      <c r="H20" s="307"/>
      <c r="I20" s="307"/>
      <c r="J20" s="307"/>
      <c r="K20" s="307"/>
      <c r="L20" s="307"/>
      <c r="M20" s="307"/>
      <c r="N20" s="94"/>
      <c r="O20" s="95">
        <v>71295.839999999997</v>
      </c>
      <c r="P20" s="96">
        <v>7.1361658402324704</v>
      </c>
      <c r="Q20" s="95">
        <v>73338.16</v>
      </c>
      <c r="R20" s="96">
        <v>2.8645710605275099</v>
      </c>
      <c r="S20" s="95">
        <v>73532.87</v>
      </c>
      <c r="T20" s="96">
        <v>0.26549616188898101</v>
      </c>
      <c r="U20" s="95">
        <v>67530.89</v>
      </c>
      <c r="V20" s="96">
        <v>-8.1623089102873294</v>
      </c>
      <c r="W20" s="95">
        <v>75003.070000000007</v>
      </c>
      <c r="X20" s="96">
        <v>11.0648327010054</v>
      </c>
    </row>
    <row r="21" spans="1:32" ht="26.15" customHeight="1">
      <c r="A21" s="106"/>
      <c r="B21" s="107"/>
      <c r="C21" s="107"/>
      <c r="D21" s="108"/>
      <c r="E21" s="108"/>
      <c r="F21" s="307" t="s">
        <v>169</v>
      </c>
      <c r="G21" s="307"/>
      <c r="H21" s="307"/>
      <c r="I21" s="307"/>
      <c r="J21" s="307"/>
      <c r="K21" s="307"/>
      <c r="L21" s="307"/>
      <c r="M21" s="307"/>
      <c r="N21" s="94"/>
      <c r="O21" s="95">
        <v>137931.01999999999</v>
      </c>
      <c r="P21" s="96">
        <v>2.8009607604039801</v>
      </c>
      <c r="Q21" s="95">
        <v>128695.43</v>
      </c>
      <c r="R21" s="96">
        <v>-6.6958034530593604</v>
      </c>
      <c r="S21" s="95">
        <v>111727.51</v>
      </c>
      <c r="T21" s="96">
        <v>-13.1845551936071</v>
      </c>
      <c r="U21" s="95">
        <v>104778.45</v>
      </c>
      <c r="V21" s="96">
        <v>-6.2196499322324401</v>
      </c>
      <c r="W21" s="95">
        <v>122813.9</v>
      </c>
      <c r="X21" s="96">
        <v>17.212938347532301</v>
      </c>
    </row>
    <row r="22" spans="1:32" ht="26.15" customHeight="1">
      <c r="A22" s="106"/>
      <c r="B22" s="109"/>
      <c r="C22" s="109"/>
      <c r="D22" s="110"/>
      <c r="E22" s="108"/>
      <c r="F22" s="308" t="s">
        <v>192</v>
      </c>
      <c r="G22" s="308"/>
      <c r="H22" s="308"/>
      <c r="I22" s="308"/>
      <c r="J22" s="308"/>
      <c r="K22" s="308"/>
      <c r="L22" s="308"/>
      <c r="M22" s="308"/>
      <c r="N22" s="111"/>
      <c r="O22" s="112">
        <v>34919.410000000003</v>
      </c>
      <c r="P22" s="96">
        <v>9.9024331903402505</v>
      </c>
      <c r="Q22" s="112">
        <v>41170.44</v>
      </c>
      <c r="R22" s="96">
        <v>17.901304747130599</v>
      </c>
      <c r="S22" s="112">
        <v>39292.559999999998</v>
      </c>
      <c r="T22" s="96">
        <v>-4.5612337395471103</v>
      </c>
      <c r="U22" s="112">
        <v>35468.46</v>
      </c>
      <c r="V22" s="96">
        <v>-9.7323768163743907</v>
      </c>
      <c r="W22" s="112">
        <v>43665.98</v>
      </c>
      <c r="X22" s="96">
        <v>23.112139630533701</v>
      </c>
    </row>
    <row r="23" spans="1:32" ht="26.15" customHeight="1">
      <c r="A23" s="102"/>
      <c r="B23" s="309" t="s">
        <v>193</v>
      </c>
      <c r="C23" s="309"/>
      <c r="D23" s="309"/>
      <c r="E23" s="309"/>
      <c r="F23" s="309"/>
      <c r="G23" s="309"/>
      <c r="H23" s="309"/>
      <c r="I23" s="309"/>
      <c r="J23" s="309"/>
      <c r="K23" s="309"/>
      <c r="L23" s="309"/>
      <c r="M23" s="309"/>
      <c r="N23" s="94"/>
      <c r="O23" s="113"/>
      <c r="P23" s="105"/>
      <c r="Q23" s="113"/>
      <c r="R23" s="105"/>
      <c r="S23" s="113"/>
      <c r="T23" s="105"/>
      <c r="U23" s="113"/>
      <c r="V23" s="105"/>
      <c r="W23" s="113"/>
      <c r="X23" s="105"/>
    </row>
    <row r="24" spans="1:32" ht="26.15" customHeight="1">
      <c r="A24" s="106"/>
      <c r="B24" s="107"/>
      <c r="C24" s="107"/>
      <c r="D24" s="307" t="s">
        <v>194</v>
      </c>
      <c r="E24" s="307"/>
      <c r="F24" s="307"/>
      <c r="G24" s="307"/>
      <c r="H24" s="307"/>
      <c r="I24" s="307"/>
      <c r="J24" s="307"/>
      <c r="K24" s="307"/>
      <c r="L24" s="307"/>
      <c r="M24" s="307"/>
      <c r="N24" s="94"/>
      <c r="O24" s="95"/>
      <c r="P24" s="96"/>
      <c r="Q24" s="95"/>
      <c r="R24" s="96"/>
      <c r="S24" s="95"/>
      <c r="T24" s="96"/>
      <c r="U24" s="95"/>
      <c r="V24" s="96"/>
      <c r="W24" s="95"/>
      <c r="X24" s="96"/>
    </row>
    <row r="25" spans="1:32" ht="26.15" customHeight="1">
      <c r="A25" s="106"/>
      <c r="B25" s="107"/>
      <c r="C25" s="107"/>
      <c r="D25" s="108"/>
      <c r="E25" s="108"/>
      <c r="F25" s="307" t="s">
        <v>195</v>
      </c>
      <c r="G25" s="307"/>
      <c r="H25" s="307"/>
      <c r="I25" s="307"/>
      <c r="J25" s="307"/>
      <c r="K25" s="307"/>
      <c r="L25" s="307"/>
      <c r="M25" s="307"/>
      <c r="N25" s="94"/>
      <c r="O25" s="95">
        <v>17968.41</v>
      </c>
      <c r="P25" s="96">
        <v>5.4886549999999996</v>
      </c>
      <c r="Q25" s="95">
        <v>15926.32</v>
      </c>
      <c r="R25" s="96">
        <v>-11.364890000000001</v>
      </c>
      <c r="S25" s="95">
        <v>20892.22</v>
      </c>
      <c r="T25" s="96">
        <v>31.180461000000001</v>
      </c>
      <c r="U25" s="95">
        <v>21120.55</v>
      </c>
      <c r="V25" s="96">
        <v>1.0928949999999999</v>
      </c>
      <c r="W25" s="95">
        <v>17182.05</v>
      </c>
      <c r="X25" s="96">
        <v>-18.647715000000002</v>
      </c>
    </row>
    <row r="26" spans="1:32" ht="26.15" customHeight="1">
      <c r="A26" s="106"/>
      <c r="B26" s="107"/>
      <c r="C26" s="107"/>
      <c r="D26" s="108"/>
      <c r="E26" s="108"/>
      <c r="F26" s="307" t="s">
        <v>196</v>
      </c>
      <c r="G26" s="307"/>
      <c r="H26" s="307"/>
      <c r="I26" s="307"/>
      <c r="J26" s="307"/>
      <c r="K26" s="307"/>
      <c r="L26" s="307"/>
      <c r="M26" s="307"/>
      <c r="N26" s="94"/>
      <c r="O26" s="95">
        <v>1126.31</v>
      </c>
      <c r="P26" s="96">
        <v>41.035561999999999</v>
      </c>
      <c r="Q26" s="95">
        <v>861.68</v>
      </c>
      <c r="R26" s="96">
        <v>-23.495308000000001</v>
      </c>
      <c r="S26" s="95">
        <v>1980.66</v>
      </c>
      <c r="T26" s="96">
        <v>129.86027300000001</v>
      </c>
      <c r="U26" s="95">
        <v>934.82</v>
      </c>
      <c r="V26" s="96">
        <v>-52.802838999999999</v>
      </c>
      <c r="W26" s="95">
        <v>1098.51</v>
      </c>
      <c r="X26" s="96">
        <v>17.510323</v>
      </c>
    </row>
    <row r="27" spans="1:32" ht="26.15" customHeight="1">
      <c r="A27" s="106"/>
      <c r="B27" s="107"/>
      <c r="C27" s="107"/>
      <c r="D27" s="108"/>
      <c r="E27" s="108"/>
      <c r="F27" s="307" t="s">
        <v>197</v>
      </c>
      <c r="G27" s="307"/>
      <c r="H27" s="307"/>
      <c r="I27" s="307"/>
      <c r="J27" s="307"/>
      <c r="K27" s="307"/>
      <c r="L27" s="307"/>
      <c r="M27" s="307"/>
      <c r="N27" s="94"/>
      <c r="O27" s="95">
        <v>636.61</v>
      </c>
      <c r="P27" s="96">
        <v>40.550624999999997</v>
      </c>
      <c r="Q27" s="95">
        <v>701.29</v>
      </c>
      <c r="R27" s="96">
        <v>10.160067</v>
      </c>
      <c r="S27" s="95">
        <v>756.29</v>
      </c>
      <c r="T27" s="96">
        <v>7.8426900000000002</v>
      </c>
      <c r="U27" s="95">
        <v>849.57</v>
      </c>
      <c r="V27" s="96">
        <v>12.335378</v>
      </c>
      <c r="W27" s="95">
        <v>692.58</v>
      </c>
      <c r="X27" s="96">
        <v>-18.478760000000001</v>
      </c>
    </row>
    <row r="28" spans="1:32" ht="26.15" customHeight="1">
      <c r="A28" s="114"/>
      <c r="B28" s="109"/>
      <c r="C28" s="109"/>
      <c r="D28" s="110"/>
      <c r="E28" s="110"/>
      <c r="F28" s="308" t="s">
        <v>198</v>
      </c>
      <c r="G28" s="308"/>
      <c r="H28" s="308"/>
      <c r="I28" s="308"/>
      <c r="J28" s="308"/>
      <c r="K28" s="308"/>
      <c r="L28" s="308"/>
      <c r="M28" s="308"/>
      <c r="N28" s="111"/>
      <c r="O28" s="112">
        <v>468.12</v>
      </c>
      <c r="P28" s="115">
        <v>17.709773999999999</v>
      </c>
      <c r="Q28" s="112">
        <v>352.17</v>
      </c>
      <c r="R28" s="115">
        <v>-24.769290000000002</v>
      </c>
      <c r="S28" s="112">
        <v>675.31</v>
      </c>
      <c r="T28" s="115">
        <v>91.756822</v>
      </c>
      <c r="U28" s="112">
        <v>620.84</v>
      </c>
      <c r="V28" s="115">
        <v>-8.065925</v>
      </c>
      <c r="W28" s="112">
        <v>1200.1500000000001</v>
      </c>
      <c r="X28" s="115">
        <v>93.310676000000001</v>
      </c>
    </row>
    <row r="29" spans="1:32" ht="15" customHeight="1">
      <c r="A29" s="117"/>
      <c r="B29" s="117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116"/>
    </row>
    <row r="30" spans="1:32" ht="15" customHeight="1">
      <c r="A30" s="317" t="s">
        <v>171</v>
      </c>
      <c r="B30" s="318"/>
      <c r="C30" s="318"/>
      <c r="D30" s="318"/>
      <c r="E30" s="318"/>
      <c r="F30" s="318"/>
      <c r="G30" s="120"/>
      <c r="H30" s="127" t="s">
        <v>1</v>
      </c>
      <c r="I30" s="311" t="s">
        <v>244</v>
      </c>
      <c r="J30" s="319"/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319"/>
      <c r="V30" s="319"/>
      <c r="W30" s="319"/>
      <c r="X30" s="319"/>
      <c r="Y30" s="319"/>
      <c r="Z30" s="319"/>
      <c r="AA30" s="319"/>
      <c r="AB30" s="319"/>
      <c r="AC30" s="122"/>
      <c r="AD30" s="122"/>
      <c r="AE30" s="122"/>
      <c r="AF30" s="122"/>
    </row>
    <row r="31" spans="1:32" ht="15" customHeight="1">
      <c r="A31" s="118"/>
      <c r="B31" s="119"/>
      <c r="C31" s="119"/>
      <c r="D31" s="119"/>
      <c r="E31" s="119"/>
      <c r="F31" s="119"/>
      <c r="G31" s="120"/>
      <c r="H31" s="127" t="s">
        <v>2</v>
      </c>
      <c r="I31" s="123" t="s">
        <v>200</v>
      </c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2"/>
      <c r="AD31" s="122"/>
      <c r="AE31" s="122"/>
      <c r="AF31" s="122"/>
    </row>
    <row r="32" spans="1:32" ht="15" customHeight="1">
      <c r="A32" s="118"/>
      <c r="B32" s="119"/>
      <c r="C32" s="119"/>
      <c r="D32" s="119"/>
      <c r="E32" s="119"/>
      <c r="F32" s="119"/>
      <c r="G32" s="120"/>
      <c r="H32" s="127" t="s">
        <v>199</v>
      </c>
      <c r="I32" s="315" t="s">
        <v>202</v>
      </c>
      <c r="J32" s="316"/>
      <c r="K32" s="316"/>
      <c r="L32" s="316"/>
      <c r="M32" s="316"/>
      <c r="N32" s="316"/>
      <c r="O32" s="316"/>
      <c r="P32" s="316"/>
      <c r="Q32" s="316"/>
      <c r="R32" s="316"/>
      <c r="S32" s="316"/>
      <c r="T32" s="316"/>
      <c r="U32" s="316"/>
      <c r="V32" s="316"/>
      <c r="W32" s="316"/>
      <c r="X32" s="316"/>
      <c r="Y32" s="316"/>
      <c r="Z32" s="316"/>
      <c r="AA32" s="316"/>
      <c r="AB32" s="316"/>
      <c r="AC32" s="314"/>
      <c r="AD32" s="314"/>
      <c r="AE32" s="314"/>
      <c r="AF32" s="314"/>
    </row>
    <row r="33" spans="1:32" ht="15" customHeight="1">
      <c r="A33" s="120"/>
      <c r="B33" s="120"/>
      <c r="C33" s="124"/>
      <c r="D33" s="120"/>
      <c r="E33" s="120"/>
      <c r="F33" s="120"/>
      <c r="G33" s="120"/>
      <c r="H33" s="127" t="s">
        <v>201</v>
      </c>
      <c r="I33" s="125" t="s">
        <v>203</v>
      </c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126"/>
      <c r="AE33" s="126"/>
      <c r="AF33" s="126"/>
    </row>
    <row r="34" spans="1:32" ht="15" customHeight="1">
      <c r="A34" s="120"/>
      <c r="B34" s="120"/>
      <c r="C34" s="120"/>
      <c r="D34" s="120"/>
      <c r="E34" s="120"/>
      <c r="F34" s="120"/>
      <c r="G34" s="120"/>
      <c r="H34" s="127" t="s">
        <v>297</v>
      </c>
      <c r="I34" s="125" t="s">
        <v>204</v>
      </c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122"/>
      <c r="AE34" s="122"/>
      <c r="AF34" s="122"/>
    </row>
    <row r="35" spans="1:32" ht="15" customHeight="1">
      <c r="A35" s="120"/>
      <c r="B35" s="120"/>
      <c r="C35" s="120"/>
      <c r="D35" s="120"/>
      <c r="E35" s="120"/>
      <c r="F35" s="120"/>
      <c r="G35" s="120"/>
      <c r="H35" s="127"/>
      <c r="I35" s="312" t="s">
        <v>205</v>
      </c>
      <c r="J35" s="313"/>
      <c r="K35" s="313"/>
      <c r="L35" s="313"/>
      <c r="M35" s="313"/>
      <c r="N35" s="313"/>
      <c r="O35" s="313"/>
      <c r="P35" s="313"/>
      <c r="Q35" s="313"/>
      <c r="R35" s="313"/>
      <c r="S35" s="313"/>
      <c r="T35" s="313"/>
      <c r="U35" s="313"/>
      <c r="V35" s="313"/>
      <c r="W35" s="313"/>
      <c r="X35" s="313"/>
      <c r="Y35" s="313"/>
      <c r="Z35" s="313"/>
      <c r="AA35" s="313"/>
      <c r="AB35" s="313"/>
      <c r="AC35" s="313"/>
      <c r="AD35" s="314"/>
      <c r="AE35" s="314"/>
      <c r="AF35" s="314"/>
    </row>
    <row r="36" spans="1:32" ht="13">
      <c r="H36" s="127" t="s">
        <v>298</v>
      </c>
      <c r="I36" s="125" t="s">
        <v>206</v>
      </c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122"/>
      <c r="AE36" s="122"/>
      <c r="AF36" s="122"/>
    </row>
    <row r="37" spans="1:32" ht="13">
      <c r="H37" s="127"/>
      <c r="I37" s="315" t="s">
        <v>207</v>
      </c>
      <c r="J37" s="316"/>
      <c r="K37" s="316"/>
      <c r="L37" s="316"/>
      <c r="M37" s="316"/>
      <c r="N37" s="316"/>
      <c r="O37" s="316"/>
      <c r="P37" s="316"/>
      <c r="Q37" s="316"/>
      <c r="R37" s="316"/>
      <c r="S37" s="316"/>
      <c r="T37" s="316"/>
      <c r="U37" s="316"/>
      <c r="V37" s="316"/>
      <c r="W37" s="316"/>
      <c r="X37" s="316"/>
      <c r="Y37" s="316"/>
      <c r="Z37" s="316"/>
      <c r="AA37" s="316"/>
      <c r="AB37" s="316"/>
      <c r="AC37" s="314"/>
      <c r="AD37" s="314"/>
      <c r="AE37" s="314"/>
      <c r="AF37" s="314"/>
    </row>
    <row r="38" spans="1:32" ht="13">
      <c r="H38" s="158"/>
      <c r="I38" s="310"/>
      <c r="J38" s="311"/>
      <c r="K38" s="311"/>
      <c r="L38" s="311"/>
      <c r="M38" s="311"/>
      <c r="N38" s="311"/>
      <c r="O38" s="311"/>
      <c r="P38" s="311"/>
      <c r="Q38" s="311"/>
      <c r="R38" s="311"/>
      <c r="S38" s="311"/>
      <c r="T38" s="121"/>
      <c r="U38" s="121"/>
      <c r="V38" s="121"/>
      <c r="W38" s="121"/>
      <c r="X38" s="121"/>
      <c r="Y38" s="121"/>
      <c r="Z38" s="121"/>
      <c r="AA38" s="121"/>
      <c r="AB38" s="121"/>
      <c r="AC38" s="122"/>
      <c r="AD38" s="122"/>
      <c r="AE38" s="122"/>
      <c r="AF38" s="122"/>
    </row>
  </sheetData>
  <mergeCells count="39">
    <mergeCell ref="I38:S38"/>
    <mergeCell ref="I35:AF35"/>
    <mergeCell ref="D24:M24"/>
    <mergeCell ref="F25:M25"/>
    <mergeCell ref="F26:M26"/>
    <mergeCell ref="F27:M27"/>
    <mergeCell ref="I37:AF37"/>
    <mergeCell ref="I32:AF32"/>
    <mergeCell ref="F28:M28"/>
    <mergeCell ref="A30:F30"/>
    <mergeCell ref="I30:AB30"/>
    <mergeCell ref="F20:M20"/>
    <mergeCell ref="F21:M21"/>
    <mergeCell ref="F22:M22"/>
    <mergeCell ref="B23:M23"/>
    <mergeCell ref="F16:M16"/>
    <mergeCell ref="B17:M17"/>
    <mergeCell ref="D18:M18"/>
    <mergeCell ref="F19:M19"/>
    <mergeCell ref="F13:M13"/>
    <mergeCell ref="F14:M14"/>
    <mergeCell ref="F15:M15"/>
    <mergeCell ref="A1:AB1"/>
    <mergeCell ref="A3:N5"/>
    <mergeCell ref="U3:U5"/>
    <mergeCell ref="V4:V5"/>
    <mergeCell ref="S3:S5"/>
    <mergeCell ref="Q3:Q5"/>
    <mergeCell ref="W3:W5"/>
    <mergeCell ref="P4:P5"/>
    <mergeCell ref="R4:R5"/>
    <mergeCell ref="T4:T5"/>
    <mergeCell ref="X4:X5"/>
    <mergeCell ref="B6:M6"/>
    <mergeCell ref="D8:M8"/>
    <mergeCell ref="F10:M10"/>
    <mergeCell ref="F11:M11"/>
    <mergeCell ref="O3:O5"/>
    <mergeCell ref="F12:M12"/>
  </mergeCells>
  <phoneticPr fontId="2"/>
  <printOptions horizontalCentered="1"/>
  <pageMargins left="0.78740157480314965" right="0.78740157480314965" top="0.98425196850393704" bottom="0.47244094488188981" header="0.51181102362204722" footer="0.19685039370078741"/>
  <pageSetup paperSize="9" scale="72" orientation="landscape" horizontalDpi="300" verticalDpi="300" r:id="rId1"/>
  <headerFooter alignWithMargins="0"/>
  <ignoredErrors>
    <ignoredError sqref="H30:H33 H34 H36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C9CF6-DCB0-4A00-A782-2206BDD14F93}">
  <sheetPr>
    <tabColor rgb="FFFFC000"/>
    <pageSetUpPr fitToPage="1"/>
  </sheetPr>
  <dimension ref="A1:AA30"/>
  <sheetViews>
    <sheetView view="pageBreakPreview" zoomScaleNormal="100" zoomScaleSheetLayoutView="100" workbookViewId="0">
      <selection sqref="A1:U1"/>
    </sheetView>
  </sheetViews>
  <sheetFormatPr defaultColWidth="8" defaultRowHeight="12"/>
  <cols>
    <col min="1" max="9" width="0.90625" style="72" customWidth="1"/>
    <col min="10" max="12" width="0.6328125" style="72" customWidth="1"/>
    <col min="13" max="13" width="23.6328125" style="72" customWidth="1"/>
    <col min="14" max="14" width="0.6328125" style="72" customWidth="1"/>
    <col min="15" max="19" width="17.6328125" style="72" customWidth="1"/>
    <col min="20" max="20" width="0.36328125" style="72" customWidth="1"/>
    <col min="21" max="21" width="15.6328125" style="72" hidden="1" customWidth="1"/>
    <col min="22" max="22" width="10.6328125" style="129" customWidth="1"/>
    <col min="23" max="23" width="12.6328125" style="129" customWidth="1"/>
    <col min="24" max="24" width="10.6328125" style="129" customWidth="1"/>
    <col min="25" max="25" width="12.6328125" style="129" customWidth="1"/>
    <col min="26" max="26" width="10.6328125" style="129" customWidth="1"/>
    <col min="27" max="75" width="9" style="129" customWidth="1"/>
    <col min="76" max="16384" width="8" style="129"/>
  </cols>
  <sheetData>
    <row r="1" spans="1:26" ht="19.5" customHeight="1">
      <c r="A1" s="324" t="s">
        <v>276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128"/>
      <c r="W1" s="128"/>
      <c r="X1" s="128"/>
      <c r="Y1" s="128"/>
      <c r="Z1" s="128"/>
    </row>
    <row r="2" spans="1:26" s="130" customFormat="1" ht="15" customHeight="1">
      <c r="Q2" s="131"/>
      <c r="R2" s="131"/>
      <c r="S2" s="131" t="s">
        <v>208</v>
      </c>
    </row>
    <row r="3" spans="1:26" ht="15" customHeight="1">
      <c r="A3" s="325" t="s">
        <v>179</v>
      </c>
      <c r="B3" s="326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21">
        <v>2017</v>
      </c>
      <c r="P3" s="321">
        <v>2018</v>
      </c>
      <c r="Q3" s="321">
        <v>2019</v>
      </c>
      <c r="R3" s="321">
        <v>2020</v>
      </c>
      <c r="S3" s="321">
        <v>2021</v>
      </c>
      <c r="T3" s="129"/>
      <c r="U3" s="129"/>
    </row>
    <row r="4" spans="1:26" ht="12" customHeight="1">
      <c r="A4" s="327"/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9"/>
      <c r="O4" s="322"/>
      <c r="P4" s="322"/>
      <c r="Q4" s="322"/>
      <c r="R4" s="322"/>
      <c r="S4" s="322"/>
      <c r="T4" s="132"/>
      <c r="U4" s="132"/>
      <c r="V4" s="132"/>
      <c r="W4" s="132"/>
    </row>
    <row r="5" spans="1:26" ht="30" customHeight="1">
      <c r="A5" s="133"/>
      <c r="B5" s="323" t="s">
        <v>209</v>
      </c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3"/>
      <c r="N5" s="134"/>
      <c r="O5" s="135">
        <v>20.577143</v>
      </c>
      <c r="P5" s="135">
        <v>20.735859999999999</v>
      </c>
      <c r="Q5" s="135">
        <v>20.085405999999999</v>
      </c>
      <c r="R5" s="135">
        <v>19.359431000000001</v>
      </c>
      <c r="S5" s="135">
        <v>19.239583</v>
      </c>
      <c r="T5" s="136"/>
      <c r="U5" s="136"/>
      <c r="V5" s="136"/>
      <c r="W5" s="136"/>
    </row>
    <row r="6" spans="1:26" ht="30" customHeight="1">
      <c r="A6" s="133"/>
      <c r="B6" s="330" t="s">
        <v>210</v>
      </c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134"/>
      <c r="O6" s="135">
        <v>6.1516339999999996</v>
      </c>
      <c r="P6" s="135">
        <v>6.1478409999999997</v>
      </c>
      <c r="Q6" s="135">
        <v>5.606865</v>
      </c>
      <c r="R6" s="135">
        <v>5.7890940000000004</v>
      </c>
      <c r="S6" s="135">
        <v>5.3622629999999996</v>
      </c>
      <c r="T6" s="129"/>
      <c r="U6" s="129"/>
    </row>
    <row r="7" spans="1:26" ht="30" customHeight="1">
      <c r="A7" s="139"/>
      <c r="B7" s="323" t="s">
        <v>209</v>
      </c>
      <c r="C7" s="323"/>
      <c r="D7" s="323"/>
      <c r="E7" s="323"/>
      <c r="F7" s="323"/>
      <c r="G7" s="323"/>
      <c r="H7" s="323"/>
      <c r="I7" s="323"/>
      <c r="J7" s="323"/>
      <c r="K7" s="323"/>
      <c r="L7" s="323"/>
      <c r="M7" s="323"/>
      <c r="N7" s="140"/>
      <c r="O7" s="135"/>
      <c r="P7" s="135"/>
      <c r="Q7" s="135"/>
      <c r="R7" s="135"/>
      <c r="S7" s="135"/>
      <c r="T7" s="129"/>
      <c r="U7" s="129"/>
    </row>
    <row r="8" spans="1:26" ht="30" customHeight="1">
      <c r="A8" s="141"/>
      <c r="B8" s="142"/>
      <c r="C8" s="320" t="s">
        <v>211</v>
      </c>
      <c r="D8" s="320"/>
      <c r="E8" s="320"/>
      <c r="F8" s="320"/>
      <c r="G8" s="320"/>
      <c r="H8" s="320"/>
      <c r="I8" s="320"/>
      <c r="J8" s="320"/>
      <c r="K8" s="320"/>
      <c r="L8" s="320"/>
      <c r="M8" s="320"/>
      <c r="N8" s="144"/>
      <c r="O8" s="145"/>
      <c r="P8" s="145"/>
      <c r="Q8" s="145"/>
      <c r="R8" s="145"/>
      <c r="S8" s="145"/>
      <c r="T8" s="129"/>
      <c r="U8" s="129"/>
    </row>
    <row r="9" spans="1:26" ht="22.5" customHeight="1">
      <c r="A9" s="141"/>
      <c r="B9" s="142"/>
      <c r="C9" s="143"/>
      <c r="D9" s="320" t="s">
        <v>212</v>
      </c>
      <c r="E9" s="320"/>
      <c r="F9" s="320"/>
      <c r="G9" s="320"/>
      <c r="H9" s="320"/>
      <c r="I9" s="320"/>
      <c r="J9" s="320"/>
      <c r="K9" s="320"/>
      <c r="L9" s="320"/>
      <c r="M9" s="320"/>
      <c r="N9" s="144"/>
      <c r="O9" s="145">
        <v>16.19904</v>
      </c>
      <c r="P9" s="145">
        <v>16.374196999999999</v>
      </c>
      <c r="Q9" s="145">
        <v>15.651195</v>
      </c>
      <c r="R9" s="145">
        <v>15.316006</v>
      </c>
      <c r="S9" s="145">
        <v>14.974188</v>
      </c>
      <c r="T9" s="129"/>
      <c r="U9" s="129"/>
    </row>
    <row r="10" spans="1:26" ht="22.5" customHeight="1">
      <c r="A10" s="141"/>
      <c r="B10" s="142"/>
      <c r="C10" s="143"/>
      <c r="D10" s="320" t="s">
        <v>213</v>
      </c>
      <c r="E10" s="320"/>
      <c r="F10" s="320"/>
      <c r="G10" s="320"/>
      <c r="H10" s="320"/>
      <c r="I10" s="320"/>
      <c r="J10" s="320"/>
      <c r="K10" s="320"/>
      <c r="L10" s="320"/>
      <c r="M10" s="320"/>
      <c r="N10" s="144"/>
      <c r="O10" s="145">
        <v>34.223567000000003</v>
      </c>
      <c r="P10" s="145">
        <v>35.906441999999998</v>
      </c>
      <c r="Q10" s="145">
        <v>36.280903000000002</v>
      </c>
      <c r="R10" s="145">
        <v>35.808069000000003</v>
      </c>
      <c r="S10" s="145">
        <v>36.685383000000002</v>
      </c>
      <c r="T10" s="129"/>
      <c r="U10" s="129"/>
    </row>
    <row r="11" spans="1:26" ht="22.5" customHeight="1">
      <c r="A11" s="141"/>
      <c r="B11" s="142"/>
      <c r="C11" s="143"/>
      <c r="D11" s="320" t="s">
        <v>214</v>
      </c>
      <c r="E11" s="320"/>
      <c r="F11" s="320"/>
      <c r="G11" s="320"/>
      <c r="H11" s="320"/>
      <c r="I11" s="320"/>
      <c r="J11" s="320"/>
      <c r="K11" s="320"/>
      <c r="L11" s="320"/>
      <c r="M11" s="320"/>
      <c r="N11" s="144"/>
      <c r="O11" s="145">
        <v>39.661006</v>
      </c>
      <c r="P11" s="145">
        <v>40.525381000000003</v>
      </c>
      <c r="Q11" s="145">
        <v>42.459266</v>
      </c>
      <c r="R11" s="145">
        <v>40.525972000000003</v>
      </c>
      <c r="S11" s="145">
        <v>40.081659000000002</v>
      </c>
      <c r="T11" s="129"/>
      <c r="U11" s="129"/>
    </row>
    <row r="12" spans="1:26" ht="22.5" customHeight="1">
      <c r="A12" s="141"/>
      <c r="B12" s="146"/>
      <c r="C12" s="147"/>
      <c r="D12" s="320" t="s">
        <v>215</v>
      </c>
      <c r="E12" s="320"/>
      <c r="F12" s="320"/>
      <c r="G12" s="320"/>
      <c r="H12" s="320"/>
      <c r="I12" s="320"/>
      <c r="J12" s="320"/>
      <c r="K12" s="320"/>
      <c r="L12" s="320"/>
      <c r="M12" s="320"/>
      <c r="N12" s="148"/>
      <c r="O12" s="145">
        <v>20.100857999999999</v>
      </c>
      <c r="P12" s="145">
        <v>18.926359000000001</v>
      </c>
      <c r="Q12" s="145">
        <v>16.668011</v>
      </c>
      <c r="R12" s="145">
        <v>16.477134</v>
      </c>
      <c r="S12" s="145">
        <v>15.2463</v>
      </c>
      <c r="T12" s="129"/>
      <c r="U12" s="129"/>
    </row>
    <row r="13" spans="1:26" ht="30" customHeight="1">
      <c r="A13" s="139"/>
      <c r="B13" s="330" t="s">
        <v>210</v>
      </c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144"/>
      <c r="O13" s="135"/>
      <c r="P13" s="135"/>
      <c r="Q13" s="135"/>
      <c r="R13" s="135"/>
      <c r="S13" s="135"/>
      <c r="T13" s="129"/>
      <c r="U13" s="129"/>
    </row>
    <row r="14" spans="1:26" ht="30" customHeight="1">
      <c r="A14" s="141"/>
      <c r="B14" s="142"/>
      <c r="C14" s="320" t="s">
        <v>211</v>
      </c>
      <c r="D14" s="320"/>
      <c r="E14" s="320"/>
      <c r="F14" s="320"/>
      <c r="G14" s="320"/>
      <c r="H14" s="320"/>
      <c r="I14" s="320"/>
      <c r="J14" s="320"/>
      <c r="K14" s="320"/>
      <c r="L14" s="320"/>
      <c r="M14" s="320"/>
      <c r="N14" s="144"/>
      <c r="O14" s="145"/>
      <c r="P14" s="145"/>
      <c r="Q14" s="145"/>
      <c r="R14" s="145"/>
      <c r="S14" s="145"/>
      <c r="T14" s="129"/>
      <c r="U14" s="129"/>
    </row>
    <row r="15" spans="1:26" ht="22.5" customHeight="1">
      <c r="A15" s="141"/>
      <c r="B15" s="142"/>
      <c r="C15" s="143"/>
      <c r="D15" s="320" t="s">
        <v>212</v>
      </c>
      <c r="E15" s="320"/>
      <c r="F15" s="320"/>
      <c r="G15" s="320"/>
      <c r="H15" s="320"/>
      <c r="I15" s="320"/>
      <c r="J15" s="320"/>
      <c r="K15" s="320"/>
      <c r="L15" s="320"/>
      <c r="M15" s="320"/>
      <c r="N15" s="144"/>
      <c r="O15" s="145">
        <v>5.8487439999999999</v>
      </c>
      <c r="P15" s="145">
        <v>5.7803329999999997</v>
      </c>
      <c r="Q15" s="145">
        <v>5.2793989999999997</v>
      </c>
      <c r="R15" s="145">
        <v>5.4993590000000001</v>
      </c>
      <c r="S15" s="145">
        <v>5.0462699999999998</v>
      </c>
      <c r="T15" s="129"/>
      <c r="U15" s="129"/>
    </row>
    <row r="16" spans="1:26" ht="22.5" customHeight="1">
      <c r="A16" s="141"/>
      <c r="B16" s="142"/>
      <c r="C16" s="143"/>
      <c r="D16" s="320" t="s">
        <v>213</v>
      </c>
      <c r="E16" s="320"/>
      <c r="F16" s="320"/>
      <c r="G16" s="320"/>
      <c r="H16" s="320"/>
      <c r="I16" s="320"/>
      <c r="J16" s="320"/>
      <c r="K16" s="320"/>
      <c r="L16" s="320"/>
      <c r="M16" s="320"/>
      <c r="N16" s="144"/>
      <c r="O16" s="145">
        <v>11.520293000000001</v>
      </c>
      <c r="P16" s="145">
        <v>11.678675999999999</v>
      </c>
      <c r="Q16" s="145">
        <v>11.615379000000001</v>
      </c>
      <c r="R16" s="145">
        <v>12.640395</v>
      </c>
      <c r="S16" s="145">
        <v>12.367575</v>
      </c>
      <c r="T16" s="129"/>
      <c r="U16" s="129"/>
    </row>
    <row r="17" spans="1:27" ht="22.5" customHeight="1">
      <c r="A17" s="141"/>
      <c r="B17" s="142"/>
      <c r="C17" s="143"/>
      <c r="D17" s="320" t="s">
        <v>214</v>
      </c>
      <c r="E17" s="320"/>
      <c r="F17" s="320"/>
      <c r="G17" s="320"/>
      <c r="H17" s="320"/>
      <c r="I17" s="320"/>
      <c r="J17" s="320"/>
      <c r="K17" s="320"/>
      <c r="L17" s="320"/>
      <c r="M17" s="320"/>
      <c r="N17" s="144"/>
      <c r="O17" s="145">
        <v>17.140846</v>
      </c>
      <c r="P17" s="145">
        <v>26.851103999999999</v>
      </c>
      <c r="Q17" s="145">
        <v>32.242908999999997</v>
      </c>
      <c r="R17" s="145">
        <v>20.527049999999999</v>
      </c>
      <c r="S17" s="145">
        <v>20.286427</v>
      </c>
      <c r="T17" s="129"/>
      <c r="U17" s="129"/>
    </row>
    <row r="18" spans="1:27" ht="22.5" customHeight="1">
      <c r="A18" s="149"/>
      <c r="B18" s="146"/>
      <c r="C18" s="147"/>
      <c r="D18" s="332" t="s">
        <v>215</v>
      </c>
      <c r="E18" s="332"/>
      <c r="F18" s="332"/>
      <c r="G18" s="332"/>
      <c r="H18" s="332"/>
      <c r="I18" s="332"/>
      <c r="J18" s="332"/>
      <c r="K18" s="332"/>
      <c r="L18" s="332"/>
      <c r="M18" s="332"/>
      <c r="N18" s="148"/>
      <c r="O18" s="137">
        <v>14.799542000000001</v>
      </c>
      <c r="P18" s="137">
        <v>13.366383000000001</v>
      </c>
      <c r="Q18" s="137">
        <v>10.752772</v>
      </c>
      <c r="R18" s="137">
        <v>8.1870999999999992</v>
      </c>
      <c r="S18" s="137">
        <v>7.2051550000000004</v>
      </c>
      <c r="T18" s="129"/>
      <c r="U18" s="129"/>
    </row>
    <row r="19" spans="1:27" ht="15" customHeight="1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38"/>
    </row>
    <row r="20" spans="1:27" ht="22.5" customHeight="1">
      <c r="A20" s="335" t="s">
        <v>290</v>
      </c>
      <c r="B20" s="336"/>
      <c r="C20" s="336"/>
      <c r="D20" s="336"/>
      <c r="E20" s="336"/>
      <c r="F20" s="336"/>
      <c r="G20" s="336"/>
      <c r="H20" s="336"/>
      <c r="I20" s="336"/>
      <c r="J20" s="336"/>
      <c r="K20" s="336"/>
      <c r="L20" s="336"/>
      <c r="M20" s="336"/>
      <c r="N20" s="120"/>
      <c r="O20" s="124"/>
      <c r="P20" s="124"/>
      <c r="Q20" s="124"/>
      <c r="R20" s="124"/>
      <c r="S20" s="124"/>
      <c r="T20" s="124"/>
      <c r="U20" s="124"/>
      <c r="V20" s="124"/>
      <c r="W20" s="120"/>
      <c r="X20" s="120"/>
    </row>
    <row r="21" spans="1:27" ht="13.5" customHeight="1">
      <c r="A21" s="337" t="s">
        <v>304</v>
      </c>
      <c r="B21" s="335"/>
      <c r="C21" s="335"/>
      <c r="D21" s="335"/>
      <c r="E21" s="335"/>
      <c r="F21" s="335"/>
      <c r="G21" s="338"/>
      <c r="H21" s="339"/>
      <c r="I21" s="339"/>
      <c r="J21" s="339"/>
      <c r="K21" s="339"/>
      <c r="L21" s="339"/>
      <c r="M21" s="339"/>
      <c r="N21" s="190"/>
      <c r="O21" s="340" t="s">
        <v>147</v>
      </c>
      <c r="P21" s="341"/>
      <c r="Q21" s="331" t="s">
        <v>216</v>
      </c>
      <c r="R21" s="331"/>
      <c r="S21" s="331"/>
      <c r="T21" s="151"/>
      <c r="U21" s="333"/>
      <c r="V21" s="333"/>
      <c r="W21" s="334"/>
      <c r="X21" s="120"/>
    </row>
    <row r="22" spans="1:27" ht="13.5" customHeight="1">
      <c r="A22" s="338"/>
      <c r="B22" s="338"/>
      <c r="C22" s="338"/>
      <c r="D22" s="338"/>
      <c r="E22" s="338"/>
      <c r="F22" s="338"/>
      <c r="G22" s="338"/>
      <c r="H22" s="339"/>
      <c r="I22" s="339"/>
      <c r="J22" s="339"/>
      <c r="K22" s="339"/>
      <c r="L22" s="339"/>
      <c r="M22" s="339"/>
      <c r="N22" s="190"/>
      <c r="O22" s="191" t="s">
        <v>303</v>
      </c>
      <c r="P22" s="192"/>
      <c r="Q22" s="331"/>
      <c r="R22" s="331"/>
      <c r="S22" s="331"/>
      <c r="T22" s="151"/>
      <c r="U22" s="333"/>
      <c r="V22" s="333"/>
      <c r="W22" s="334"/>
      <c r="X22" s="120"/>
    </row>
    <row r="23" spans="1:27" ht="26.15" customHeight="1">
      <c r="B23" s="88"/>
      <c r="D23" s="88"/>
      <c r="F23" s="88"/>
      <c r="H23" s="88"/>
      <c r="J23" s="88"/>
      <c r="V23" s="138"/>
    </row>
    <row r="24" spans="1:27" ht="26.15" customHeight="1">
      <c r="B24" s="88"/>
      <c r="D24" s="88"/>
      <c r="F24" s="88"/>
      <c r="H24" s="88"/>
      <c r="J24" s="88"/>
      <c r="V24" s="138"/>
    </row>
    <row r="25" spans="1:27">
      <c r="B25" s="88"/>
      <c r="D25" s="88"/>
      <c r="F25" s="88"/>
      <c r="H25" s="88"/>
      <c r="J25" s="88"/>
      <c r="V25" s="152"/>
      <c r="W25" s="152"/>
      <c r="X25" s="152"/>
      <c r="Y25" s="152"/>
      <c r="Z25" s="152"/>
      <c r="AA25" s="152"/>
    </row>
    <row r="26" spans="1:27">
      <c r="B26" s="88"/>
      <c r="D26" s="88"/>
      <c r="F26" s="88"/>
      <c r="H26" s="88"/>
      <c r="J26" s="88"/>
      <c r="V26" s="152"/>
      <c r="W26" s="152"/>
      <c r="X26" s="152"/>
      <c r="Y26" s="152"/>
      <c r="Z26" s="152"/>
      <c r="AA26" s="152"/>
    </row>
    <row r="27" spans="1:27">
      <c r="B27" s="88"/>
      <c r="D27" s="88"/>
      <c r="F27" s="88"/>
      <c r="H27" s="88"/>
      <c r="J27" s="88"/>
      <c r="V27" s="152"/>
      <c r="W27" s="152"/>
      <c r="X27" s="152"/>
      <c r="Y27" s="152"/>
      <c r="Z27" s="152"/>
      <c r="AA27" s="152"/>
    </row>
    <row r="28" spans="1:27">
      <c r="B28" s="88"/>
      <c r="D28" s="88"/>
      <c r="F28" s="88"/>
      <c r="H28" s="88"/>
      <c r="J28" s="88"/>
      <c r="V28" s="132"/>
      <c r="W28" s="132"/>
      <c r="X28" s="132"/>
      <c r="Y28" s="132"/>
      <c r="Z28" s="132"/>
      <c r="AA28" s="132"/>
    </row>
    <row r="29" spans="1:27">
      <c r="B29" s="88"/>
      <c r="D29" s="88"/>
      <c r="F29" s="88"/>
      <c r="H29" s="88"/>
      <c r="J29" s="88"/>
      <c r="V29" s="132"/>
      <c r="W29" s="132"/>
      <c r="X29" s="132"/>
      <c r="Y29" s="132"/>
      <c r="Z29" s="132"/>
      <c r="AA29" s="132"/>
    </row>
    <row r="30" spans="1:27">
      <c r="B30" s="88"/>
      <c r="D30" s="88"/>
      <c r="F30" s="88"/>
      <c r="H30" s="88"/>
      <c r="J30" s="88"/>
      <c r="V30" s="132"/>
      <c r="W30" s="132"/>
      <c r="X30" s="132"/>
      <c r="Y30" s="132"/>
      <c r="Z30" s="132"/>
      <c r="AA30" s="132"/>
    </row>
  </sheetData>
  <mergeCells count="30">
    <mergeCell ref="R21:R22"/>
    <mergeCell ref="U21:V21"/>
    <mergeCell ref="W21:W22"/>
    <mergeCell ref="U22:V22"/>
    <mergeCell ref="A20:M20"/>
    <mergeCell ref="A21:M22"/>
    <mergeCell ref="S21:S22"/>
    <mergeCell ref="O21:P21"/>
    <mergeCell ref="D11:M11"/>
    <mergeCell ref="D12:M12"/>
    <mergeCell ref="B13:M13"/>
    <mergeCell ref="C14:M14"/>
    <mergeCell ref="Q21:Q22"/>
    <mergeCell ref="D15:M15"/>
    <mergeCell ref="D16:M16"/>
    <mergeCell ref="D17:M17"/>
    <mergeCell ref="D18:M18"/>
    <mergeCell ref="A1:U1"/>
    <mergeCell ref="A3:N4"/>
    <mergeCell ref="B5:M5"/>
    <mergeCell ref="B6:M6"/>
    <mergeCell ref="Q3:Q4"/>
    <mergeCell ref="P3:P4"/>
    <mergeCell ref="D10:M10"/>
    <mergeCell ref="R3:R4"/>
    <mergeCell ref="O3:O4"/>
    <mergeCell ref="S3:S4"/>
    <mergeCell ref="B7:M7"/>
    <mergeCell ref="C8:M8"/>
    <mergeCell ref="D9:M9"/>
  </mergeCells>
  <phoneticPr fontId="2"/>
  <printOptions horizontalCentered="1"/>
  <pageMargins left="0.78740157480314965" right="0.78740157480314965" top="0.98425196850393704" bottom="0.47244094488188981" header="0.51181102362204722" footer="0.19685039370078741"/>
  <pageSetup paperSize="9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BE80147CC01EC4DB2D3463784B6C09A" ma:contentTypeVersion="" ma:contentTypeDescription="新しいドキュメントを作成します。" ma:contentTypeScope="" ma:versionID="5732db6d39c5df1a3346f1c38dad0b4e">
  <xsd:schema xmlns:xsd="http://www.w3.org/2001/XMLSchema" xmlns:xs="http://www.w3.org/2001/XMLSchema" xmlns:p="http://schemas.microsoft.com/office/2006/metadata/properties" xmlns:ns2="6e55966b-5927-4af0-bc5b-6ec1c1e5ab97" xmlns:ns3="d581c74f-8d20-4889-b30d-3695beef3d5e" xmlns:ns4="b5471033-25ca-41e4-b4f9-0c69817a7d90" targetNamespace="http://schemas.microsoft.com/office/2006/metadata/properties" ma:root="true" ma:fieldsID="f43a7be812c03eb05fffa5bfe8ce74d2" ns2:_="" ns3:_="" ns4:_="">
    <xsd:import namespace="6e55966b-5927-4af0-bc5b-6ec1c1e5ab97"/>
    <xsd:import namespace="d581c74f-8d20-4889-b30d-3695beef3d5e"/>
    <xsd:import namespace="b5471033-25ca-41e4-b4f9-0c69817a7d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_x5409__x5ddd__x5148__x751f_" minOccurs="0"/>
                <xsd:element ref="ns2:_Flow_SignoffStatus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55966b-5927-4af0-bc5b-6ec1c1e5a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x5409__x5ddd__x5148__x751f_" ma:index="21" nillable="true" ma:displayName="吉川先生" ma:format="Dropdown" ma:internalName="_x5409__x5ddd__x5148__x751f_">
      <xsd:simpleType>
        <xsd:restriction base="dms:Text">
          <xsd:maxLength value="255"/>
        </xsd:restriction>
      </xsd:simpleType>
    </xsd:element>
    <xsd:element name="_Flow_SignoffStatus" ma:index="22" nillable="true" ma:displayName="承認の状態" ma:internalName="_x627f__x8a8d__x306e__x72b6__x614b_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81c74f-8d20-4889-b30d-3695beef3d5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71033-25ca-41e4-b4f9-0c69817a7d90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FA829960-7F1A-4B9B-9733-D91C6BDF43A5}" ma:internalName="TaxCatchAll" ma:showField="CatchAllData" ma:web="{d581c74f-8d20-4889-b30d-3695beef3d5e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409__x5ddd__x5148__x751f_ xmlns="6e55966b-5927-4af0-bc5b-6ec1c1e5ab97" xsi:nil="true"/>
    <TaxCatchAll xmlns="b5471033-25ca-41e4-b4f9-0c69817a7d90"/>
    <_Flow_SignoffStatus xmlns="6e55966b-5927-4af0-bc5b-6ec1c1e5ab97" xsi:nil="true"/>
  </documentManagement>
</p:properties>
</file>

<file path=customXml/itemProps1.xml><?xml version="1.0" encoding="utf-8"?>
<ds:datastoreItem xmlns:ds="http://schemas.openxmlformats.org/officeDocument/2006/customXml" ds:itemID="{5710A3B3-78D0-41EF-B3E8-9633D478275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FC913ED-B0E0-4DCF-BB4E-665EC92165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55966b-5927-4af0-bc5b-6ec1c1e5ab97"/>
    <ds:schemaRef ds:uri="d581c74f-8d20-4889-b30d-3695beef3d5e"/>
    <ds:schemaRef ds:uri="b5471033-25ca-41e4-b4f9-0c69817a7d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BA54FE-1A65-4421-A1F5-CFB11AC21E4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12BE3E0-3158-42BD-9733-C769A79B9ABA}">
  <ds:schemaRefs>
    <ds:schemaRef ds:uri="http://schemas.microsoft.com/office/2006/metadata/properties"/>
    <ds:schemaRef ds:uri="http://schemas.microsoft.com/office/infopath/2007/PartnerControls"/>
    <ds:schemaRef ds:uri="6e55966b-5927-4af0-bc5b-6ec1c1e5ab97"/>
    <ds:schemaRef ds:uri="b5471033-25ca-41e4-b4f9-0c69817a7d9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1</vt:lpstr>
      <vt:lpstr>2</vt:lpstr>
      <vt:lpstr>2-1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'2'!Print_Area</vt:lpstr>
      <vt:lpstr>'2-1'!Print_Area</vt:lpstr>
      <vt:lpstr>'3'!Print_Area</vt:lpstr>
      <vt:lpstr>'4'!Print_Area</vt:lpstr>
      <vt:lpstr>'5'!Print_Area</vt:lpstr>
      <vt:lpstr>'6'!Print_Area</vt:lpstr>
      <vt:lpstr>'7'!Print_Area</vt:lpstr>
      <vt:lpstr>'9'!Print_Area</vt:lpstr>
      <vt:lpstr>'1'!Print_Titles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2022-08-31T06:37:55Z</dcterms:created>
  <dcterms:modified xsi:type="dcterms:W3CDTF">2026-04-16T13:36:37Z</dcterms:modified>
</cp:coreProperties>
</file>