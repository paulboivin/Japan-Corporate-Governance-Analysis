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41BFAE05-D3BA-42A0-B36B-8AE72A229E6D}" xr6:coauthVersionLast="47" xr6:coauthVersionMax="47" xr10:uidLastSave="{00000000-0000-0000-0000-000000000000}"/>
  <bookViews>
    <workbookView xWindow="-110" yWindow="-110" windowWidth="19420" windowHeight="10300" xr2:uid="{10DDEC62-4970-4E33-BA79-666ACFD41645}"/>
  </bookViews>
  <sheets>
    <sheet name="1" sheetId="11" r:id="rId1"/>
    <sheet name="2" sheetId="10" r:id="rId2"/>
    <sheet name="2-1" sheetId="9" r:id="rId3"/>
    <sheet name="3" sheetId="8" r:id="rId4"/>
    <sheet name="4" sheetId="7" r:id="rId5"/>
    <sheet name="5" sheetId="6" r:id="rId6"/>
    <sheet name="6" sheetId="5" r:id="rId7"/>
    <sheet name="7" sheetId="4" r:id="rId8"/>
    <sheet name="8" sheetId="1" r:id="rId9"/>
    <sheet name="9" sheetId="2" r:id="rId10"/>
    <sheet name="10" sheetId="3" r:id="rId11"/>
  </sheets>
  <definedNames>
    <definedName name="_xlnm.Print_Area" localSheetId="0">'1'!$A$1:$K$62</definedName>
    <definedName name="_xlnm.Print_Area" localSheetId="10">'10'!$A$1:$F$26</definedName>
    <definedName name="_xlnm.Print_Area" localSheetId="1">'2'!$A$1:$K$63</definedName>
    <definedName name="_xlnm.Print_Area" localSheetId="2">'2-1'!$A$1:$K$14</definedName>
    <definedName name="_xlnm.Print_Area" localSheetId="3">'3'!$A$1:$K$63</definedName>
    <definedName name="_xlnm.Print_Area" localSheetId="4">'4'!$A$1:$L$17</definedName>
    <definedName name="_xlnm.Print_Area" localSheetId="5">'5'!$A$1:$K$35</definedName>
    <definedName name="_xlnm.Print_Area" localSheetId="6">'6'!$A$1:$K$65</definedName>
    <definedName name="_xlnm.Print_Area" localSheetId="7">'7'!$A$1:$F$47</definedName>
    <definedName name="_xlnm.Print_Area" localSheetId="8">'8'!$A$1:$K$23</definedName>
    <definedName name="_xlnm.Print_Area" localSheetId="9">'9'!$A$1:$K$34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I25" i="2"/>
  <c r="G25" i="2"/>
  <c r="E25" i="2"/>
  <c r="C25" i="2"/>
  <c r="K23" i="2"/>
  <c r="I23" i="2"/>
  <c r="G23" i="2"/>
  <c r="E23" i="2"/>
  <c r="C23" i="2"/>
  <c r="K21" i="2"/>
  <c r="I21" i="2"/>
  <c r="G21" i="2"/>
  <c r="E21" i="2"/>
  <c r="C21" i="2"/>
  <c r="K19" i="2"/>
  <c r="I19" i="2"/>
  <c r="G19" i="2"/>
  <c r="E19" i="2"/>
  <c r="C19" i="2"/>
  <c r="K17" i="2"/>
  <c r="I17" i="2"/>
  <c r="G17" i="2"/>
  <c r="E17" i="2"/>
  <c r="C17" i="2"/>
  <c r="K15" i="2"/>
  <c r="I15" i="2"/>
  <c r="G15" i="2"/>
  <c r="E15" i="2"/>
  <c r="C15" i="2"/>
  <c r="K13" i="2"/>
  <c r="I13" i="2"/>
  <c r="E13" i="2"/>
  <c r="C13" i="2"/>
  <c r="K11" i="2"/>
  <c r="I11" i="2"/>
  <c r="G11" i="2"/>
  <c r="E11" i="2"/>
  <c r="C11" i="2"/>
  <c r="K9" i="2"/>
  <c r="I9" i="2"/>
  <c r="G9" i="2"/>
  <c r="E9" i="2"/>
  <c r="C9" i="2"/>
  <c r="K7" i="2"/>
  <c r="I7" i="2"/>
  <c r="G7" i="2"/>
  <c r="E7" i="2"/>
  <c r="C7" i="2"/>
  <c r="K17" i="6"/>
  <c r="I17" i="6"/>
  <c r="E17" i="6"/>
  <c r="C17" i="6"/>
  <c r="K15" i="6"/>
  <c r="I15" i="6"/>
  <c r="G15" i="6"/>
  <c r="E15" i="6"/>
  <c r="C15" i="6"/>
  <c r="K13" i="6"/>
  <c r="I13" i="6"/>
  <c r="G13" i="6"/>
  <c r="E13" i="6"/>
  <c r="C13" i="6"/>
  <c r="K11" i="6"/>
  <c r="I11" i="6"/>
  <c r="G11" i="6"/>
  <c r="E11" i="6"/>
  <c r="C11" i="6"/>
  <c r="K9" i="6"/>
  <c r="G9" i="6"/>
  <c r="E9" i="6"/>
  <c r="C9" i="6"/>
  <c r="K7" i="6"/>
  <c r="I7" i="6"/>
  <c r="G7" i="6"/>
  <c r="E7" i="6"/>
  <c r="C7" i="6"/>
  <c r="K13" i="7"/>
  <c r="I13" i="7"/>
  <c r="G13" i="7"/>
  <c r="E13" i="7"/>
  <c r="C13" i="7"/>
  <c r="K11" i="7"/>
  <c r="I11" i="7"/>
  <c r="G11" i="7"/>
  <c r="E11" i="7"/>
  <c r="C11" i="7"/>
  <c r="K9" i="7"/>
  <c r="I9" i="7"/>
  <c r="G9" i="7"/>
  <c r="E9" i="7"/>
  <c r="K7" i="7"/>
  <c r="I7" i="7"/>
  <c r="G7" i="7"/>
  <c r="E7" i="7"/>
  <c r="C7" i="7"/>
</calcChain>
</file>

<file path=xl/sharedStrings.xml><?xml version="1.0" encoding="utf-8"?>
<sst xmlns="http://schemas.openxmlformats.org/spreadsheetml/2006/main" count="395" uniqueCount="275">
  <si>
    <t>Financial Statements Statistics of Corporations by Industry,Annually</t>
    <phoneticPr fontId="1"/>
  </si>
  <si>
    <t>1.Sales</t>
    <phoneticPr fontId="1"/>
  </si>
  <si>
    <t>(100 million yen,％)</t>
    <phoneticPr fontId="1"/>
  </si>
  <si>
    <t>Classification</t>
    <phoneticPr fontId="1"/>
  </si>
  <si>
    <t>Percent
change</t>
    <phoneticPr fontId="1"/>
  </si>
  <si>
    <t>All Industries</t>
    <phoneticPr fontId="1"/>
  </si>
  <si>
    <t>　Manufacturing</t>
    <phoneticPr fontId="1"/>
  </si>
  <si>
    <t>　　Food</t>
    <phoneticPr fontId="1"/>
  </si>
  <si>
    <t>　　Chemicals</t>
    <phoneticPr fontId="1"/>
  </si>
  <si>
    <t>　　Petroleum and coal products</t>
    <phoneticPr fontId="1"/>
  </si>
  <si>
    <t>　　Iron and steel</t>
    <phoneticPr fontId="1"/>
  </si>
  <si>
    <t>　　Metal products</t>
    <phoneticPr fontId="1"/>
  </si>
  <si>
    <t>　　General machinery</t>
    <phoneticPr fontId="1"/>
  </si>
  <si>
    <t>　　Transportation machinery</t>
    <phoneticPr fontId="1"/>
  </si>
  <si>
    <t>　Non-Manufacturing</t>
    <phoneticPr fontId="1"/>
  </si>
  <si>
    <t>　　Construction</t>
    <phoneticPr fontId="1"/>
  </si>
  <si>
    <t>　　Wholesaling and retailing</t>
    <phoneticPr fontId="1"/>
  </si>
  <si>
    <t>　　Real estate</t>
    <phoneticPr fontId="1"/>
  </si>
  <si>
    <t>　　Electricity</t>
    <phoneticPr fontId="1"/>
  </si>
  <si>
    <t>　　Services</t>
    <phoneticPr fontId="1"/>
  </si>
  <si>
    <t>Corporations with capital of</t>
    <phoneticPr fontId="1"/>
  </si>
  <si>
    <t>　1 billion yen or over</t>
    <phoneticPr fontId="1"/>
  </si>
  <si>
    <t>　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</si>
  <si>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</si>
  <si>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</si>
  <si>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Notes : All Industries and Non-Manufacturing don't include Finance and Insurance.</t>
    <phoneticPr fontId="1"/>
  </si>
  <si>
    <t>　　　2.Ordinary profits</t>
    <phoneticPr fontId="1"/>
  </si>
  <si>
    <t xml:space="preserve">  100 million to 1 billion yen</t>
    <phoneticPr fontId="1"/>
  </si>
  <si>
    <t>*</t>
  </si>
  <si>
    <t>Notes : 1.* can not be compared because of the negative figure in the previous year.</t>
    <phoneticPr fontId="1"/>
  </si>
  <si>
    <t xml:space="preserve">        2.All Industries and Non-Manufacturing don't include Finance and Insurance.</t>
    <phoneticPr fontId="1"/>
  </si>
  <si>
    <t>(Reference)</t>
    <phoneticPr fontId="1"/>
  </si>
  <si>
    <t>　　　　　Operating profits</t>
    <phoneticPr fontId="1"/>
  </si>
  <si>
    <t>3.Ratios of operating profits and ordinary profits to sales</t>
    <phoneticPr fontId="1"/>
  </si>
  <si>
    <t>(％)</t>
    <phoneticPr fontId="1"/>
  </si>
  <si>
    <t>Ratio of operating profits to sales</t>
    <phoneticPr fontId="1"/>
  </si>
  <si>
    <t>Ratio of ordinary profits to sales</t>
    <phoneticPr fontId="1"/>
  </si>
  <si>
    <t xml:space="preserve">  1 billion yen or over</t>
    <phoneticPr fontId="1"/>
  </si>
  <si>
    <t>　　　　　4.Cash dividends</t>
    <phoneticPr fontId="1"/>
  </si>
  <si>
    <t>(100 million yen,％)</t>
    <phoneticPr fontId="1"/>
  </si>
  <si>
    <t>Classification</t>
    <phoneticPr fontId="1"/>
  </si>
  <si>
    <t>Ratio of
component</t>
    <phoneticPr fontId="1"/>
  </si>
  <si>
    <t>Net profits for the period</t>
    <phoneticPr fontId="1"/>
  </si>
  <si>
    <t>Bonus for directors</t>
    <phoneticPr fontId="1"/>
  </si>
  <si>
    <t>-</t>
  </si>
  <si>
    <t>Dividends</t>
    <phoneticPr fontId="1"/>
  </si>
  <si>
    <t>Internal reserves</t>
    <phoneticPr fontId="1"/>
  </si>
  <si>
    <t>Notes : 1.Net profits for the period = ordinary profits + special profits - special losses - corporation tax and inhabitants' tax and enterprise tax - tax expenses adject</t>
    <phoneticPr fontId="1"/>
  </si>
  <si>
    <t xml:space="preserve">        2.Since fiscal year 2007, the bonus for directors is treated as a cost item substituted for a profit disposal items, therefore it indicates “-”</t>
    <phoneticPr fontId="1"/>
  </si>
  <si>
    <t>　　　　5.Value added</t>
    <phoneticPr fontId="1"/>
  </si>
  <si>
    <t>Value added</t>
    <phoneticPr fontId="1"/>
  </si>
  <si>
    <t>Salaries and wages</t>
    <phoneticPr fontId="1"/>
  </si>
  <si>
    <t>Interest</t>
    <phoneticPr fontId="1"/>
  </si>
  <si>
    <t>Rental or leasing expenses for fixed and liquid assets</t>
    <phoneticPr fontId="1"/>
  </si>
  <si>
    <t>Taxes and public charges</t>
    <phoneticPr fontId="1"/>
  </si>
  <si>
    <t>Net operating income</t>
    <phoneticPr fontId="1"/>
  </si>
  <si>
    <t>Ratio of value added</t>
  </si>
  <si>
    <t>Labor productivity(10 thousand yen)</t>
    <phoneticPr fontId="1"/>
  </si>
  <si>
    <t xml:space="preserve">Notes : 1.Value added = salaries and wages + interest   + rental or leasing expenses for fixed and liquid assets + </t>
    <phoneticPr fontId="1"/>
  </si>
  <si>
    <t xml:space="preserve">                        taxes and public charges + net operating income(operating income -interest and discounting expenses) </t>
    <phoneticPr fontId="1"/>
  </si>
  <si>
    <t xml:space="preserve">         Before 2006 : Personal expenses = Directors' remuneration + Salaries and wages(including Bonus for employees) + Welfare expenses</t>
    <phoneticPr fontId="1"/>
  </si>
  <si>
    <t xml:space="preserve">         After  2007 : Personal expenses = Directors' remuneration + Bonus for directors + Salaries and wages + Bonus for employees + Welfare expenses</t>
    <phoneticPr fontId="1"/>
  </si>
  <si>
    <t xml:space="preserve">         Since fiscal year 2007 , the bonus for directors is treated as a cost item substituted for a profit disposal items</t>
    <phoneticPr fontId="1"/>
  </si>
  <si>
    <t xml:space="preserve">         Salaries and wages , and bonus for employees are treated separately since fiscal year 2007.</t>
    <phoneticPr fontId="1"/>
  </si>
  <si>
    <t xml:space="preserve">        2.Net operating income = operating income - interest</t>
    <phoneticPr fontId="1"/>
  </si>
  <si>
    <t xml:space="preserve">        3.Ratio of value added =</t>
    <phoneticPr fontId="1"/>
  </si>
  <si>
    <t>value added</t>
  </si>
  <si>
    <t xml:space="preserve"> ×100</t>
    <phoneticPr fontId="1"/>
  </si>
  <si>
    <t>sales</t>
  </si>
  <si>
    <t xml:space="preserve">        4.Labor productivity =</t>
    <phoneticPr fontId="1"/>
  </si>
  <si>
    <t>value added</t>
    <phoneticPr fontId="1"/>
  </si>
  <si>
    <t>number of employees</t>
    <phoneticPr fontId="1"/>
  </si>
  <si>
    <t xml:space="preserve">6.Investment in plant and equipment </t>
    <phoneticPr fontId="1"/>
  </si>
  <si>
    <t>Percent
change</t>
    <phoneticPr fontId="1"/>
  </si>
  <si>
    <t>All Industries</t>
    <phoneticPr fontId="1"/>
  </si>
  <si>
    <t>　Manufacturing</t>
    <phoneticPr fontId="1"/>
  </si>
  <si>
    <t>　　Food</t>
    <phoneticPr fontId="1"/>
  </si>
  <si>
    <t>　　Chemicals</t>
    <phoneticPr fontId="1"/>
  </si>
  <si>
    <t>　　Petroleum and coal products</t>
    <phoneticPr fontId="1"/>
  </si>
  <si>
    <t>　　Iron and steel</t>
    <phoneticPr fontId="1"/>
  </si>
  <si>
    <t>　　Metal products</t>
    <phoneticPr fontId="1"/>
  </si>
  <si>
    <t>　　General machinery</t>
    <phoneticPr fontId="1"/>
  </si>
  <si>
    <t>　　Transportation machinery</t>
    <phoneticPr fontId="1"/>
  </si>
  <si>
    <t>　Non-Manufacturing</t>
    <phoneticPr fontId="1"/>
  </si>
  <si>
    <t>　　Construction</t>
    <phoneticPr fontId="1"/>
  </si>
  <si>
    <t>　　Wholesaling and retailing</t>
    <phoneticPr fontId="1"/>
  </si>
  <si>
    <t>　　Real estate</t>
    <phoneticPr fontId="1"/>
  </si>
  <si>
    <t>　　Electricity</t>
    <phoneticPr fontId="1"/>
  </si>
  <si>
    <t>　　Services</t>
    <phoneticPr fontId="1"/>
  </si>
  <si>
    <t>Corporations with capital of</t>
    <phoneticPr fontId="1"/>
  </si>
  <si>
    <t xml:space="preserve">  1 billion yen or over</t>
    <phoneticPr fontId="1"/>
  </si>
  <si>
    <t xml:space="preserve">  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</si>
  <si>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</si>
  <si>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</si>
  <si>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Notes : 1.Investment in plant and equipment = increases of tangible fixed assets(excluding land)+depreciation expenses.</t>
    <phoneticPr fontId="1"/>
  </si>
  <si>
    <t xml:space="preserve">        2.Figures include investment in software.Figures of the lower row exclude investment in software.</t>
    <phoneticPr fontId="1"/>
  </si>
  <si>
    <t xml:space="preserve">        3.All Industries and Non-Manufacturing don't include Finance and Insurance.</t>
    <phoneticPr fontId="1"/>
  </si>
  <si>
    <t>7.Increases in inventories</t>
    <phoneticPr fontId="1"/>
  </si>
  <si>
    <t>Classification</t>
    <phoneticPr fontId="1"/>
  </si>
  <si>
    <t>All Industries</t>
    <phoneticPr fontId="1"/>
  </si>
  <si>
    <t xml:space="preserve">  Finished goods and merchandise</t>
    <phoneticPr fontId="1"/>
  </si>
  <si>
    <t xml:space="preserve">  Goods in process</t>
    <phoneticPr fontId="1"/>
  </si>
  <si>
    <t xml:space="preserve">  Raw materials and goods in storage</t>
    <phoneticPr fontId="1"/>
  </si>
  <si>
    <t xml:space="preserve">Manufacturing </t>
    <phoneticPr fontId="1"/>
  </si>
  <si>
    <t xml:space="preserve">  Petroleum and coal products</t>
    <phoneticPr fontId="1"/>
  </si>
  <si>
    <t>　Iron and steel</t>
    <phoneticPr fontId="1"/>
  </si>
  <si>
    <t xml:space="preserve">  General machinery</t>
    <phoneticPr fontId="1"/>
  </si>
  <si>
    <t xml:space="preserve">  Precision machinery</t>
    <phoneticPr fontId="1"/>
  </si>
  <si>
    <t>Non-Manufacturing</t>
    <phoneticPr fontId="1"/>
  </si>
  <si>
    <t xml:space="preserve">  Construction</t>
    <phoneticPr fontId="1"/>
  </si>
  <si>
    <t xml:space="preserve">  Wholesaling and retailing</t>
    <phoneticPr fontId="1"/>
  </si>
  <si>
    <t xml:space="preserve">  Real estate</t>
    <phoneticPr fontId="1"/>
  </si>
  <si>
    <t>Ratio of inventories to sales</t>
    <phoneticPr fontId="1"/>
  </si>
  <si>
    <t>Notes : 1.Increases in inventories mean increases in inventories during the period.</t>
    <phoneticPr fontId="1"/>
  </si>
  <si>
    <t xml:space="preserve">        2.Ratio of inventories to sales =</t>
    <phoneticPr fontId="1"/>
  </si>
  <si>
    <t>inventories (end of the period)</t>
    <phoneticPr fontId="1"/>
  </si>
  <si>
    <t xml:space="preserve"> ×100</t>
    <phoneticPr fontId="1"/>
  </si>
  <si>
    <t>sales</t>
    <phoneticPr fontId="1"/>
  </si>
  <si>
    <t xml:space="preserve">        3.All Industries and Non-Manufacturing don't include Finance and Insurance.</t>
    <phoneticPr fontId="1"/>
  </si>
  <si>
    <t>8.Financial items(All Industries)</t>
    <phoneticPr fontId="1"/>
  </si>
  <si>
    <t>(100 million yen,％)</t>
    <phoneticPr fontId="1"/>
  </si>
  <si>
    <t>Classification</t>
    <phoneticPr fontId="1"/>
  </si>
  <si>
    <t>Percent
change</t>
    <phoneticPr fontId="1"/>
  </si>
  <si>
    <t>Bills and accounts receivable</t>
    <phoneticPr fontId="1"/>
  </si>
  <si>
    <t>Bills and accounts payable</t>
    <phoneticPr fontId="1"/>
  </si>
  <si>
    <t>Short-term borrowings</t>
    <phoneticPr fontId="1"/>
  </si>
  <si>
    <t>Long-term borrowings</t>
    <phoneticPr fontId="1"/>
  </si>
  <si>
    <t>Cash and deposits</t>
    <phoneticPr fontId="1"/>
  </si>
  <si>
    <t>Short-term securities</t>
    <phoneticPr fontId="1"/>
  </si>
  <si>
    <t>Liquidity ratio</t>
    <phoneticPr fontId="1"/>
  </si>
  <si>
    <t>Notes : Liquidity ratio =</t>
    <phoneticPr fontId="1"/>
  </si>
  <si>
    <t>cash and deposits + short-term securities(average of the beginning and the end of fiscal year)</t>
    <phoneticPr fontId="1"/>
  </si>
  <si>
    <t>9.Raising of funds</t>
    <phoneticPr fontId="1"/>
  </si>
  <si>
    <t>Ratio of
component</t>
    <phoneticPr fontId="1"/>
  </si>
  <si>
    <t>　Raising of funds</t>
    <phoneticPr fontId="1"/>
  </si>
  <si>
    <t>　　External funds</t>
    <phoneticPr fontId="1"/>
  </si>
  <si>
    <t>　　　Capital increases</t>
    <phoneticPr fontId="1"/>
  </si>
  <si>
    <t>　　　Bond issues</t>
    <phoneticPr fontId="1"/>
  </si>
  <si>
    <t>　　　Total borrowings</t>
    <phoneticPr fontId="1"/>
  </si>
  <si>
    <t>　　　Long-term borrowings</t>
    <phoneticPr fontId="1"/>
  </si>
  <si>
    <t>　　　Short-term borrowings</t>
    <phoneticPr fontId="1"/>
  </si>
  <si>
    <t>　　Internal funds</t>
    <phoneticPr fontId="1"/>
  </si>
  <si>
    <t>　　　Internal reserves</t>
    <phoneticPr fontId="1"/>
  </si>
  <si>
    <t>　　　Depreciation expenses</t>
    <phoneticPr fontId="1"/>
  </si>
  <si>
    <t>Notes : 1.Capital increases = increase of capital stock , capital reserves and subscription rights to shares.</t>
    <phoneticPr fontId="1"/>
  </si>
  <si>
    <t xml:space="preserve">        2.Amounts of bills receivable discounted are included in short-term borrowings.</t>
    <phoneticPr fontId="1"/>
  </si>
  <si>
    <t xml:space="preserve">        3.Internal reserves = increase of earned surplus (minus treasury stock), allowance, allowance by special laws</t>
    <phoneticPr fontId="1"/>
  </si>
  <si>
    <t xml:space="preserve">          and a part of liabilities (such as accrued expense) during a year.</t>
    <phoneticPr fontId="1"/>
  </si>
  <si>
    <t xml:space="preserve">        When the amount of increase of [(bills receivable + accounts receivable + bills receivable discounted) - (bills</t>
    <phoneticPr fontId="1"/>
  </si>
  <si>
    <t xml:space="preserve">        payable + accounts payable)] is negative, the absolute value of the amount is counted as internal reserves.</t>
    <phoneticPr fontId="1"/>
  </si>
  <si>
    <t xml:space="preserve">        4.Special depreciation expenses are included in depreciation expenses.</t>
    <phoneticPr fontId="1"/>
  </si>
  <si>
    <t>10.Ratio of net worth</t>
    <phoneticPr fontId="1"/>
  </si>
  <si>
    <t>(％)</t>
    <phoneticPr fontId="1"/>
  </si>
  <si>
    <t>Classification</t>
    <phoneticPr fontId="1"/>
  </si>
  <si>
    <t>All Industries</t>
    <phoneticPr fontId="1"/>
  </si>
  <si>
    <t xml:space="preserve">  Manufacturing</t>
    <phoneticPr fontId="1"/>
  </si>
  <si>
    <t xml:space="preserve">  Non-Manufacturing</t>
    <phoneticPr fontId="1"/>
  </si>
  <si>
    <t>Corporations with capital of</t>
    <phoneticPr fontId="1"/>
  </si>
  <si>
    <t xml:space="preserve">  1 billion yen or over</t>
    <phoneticPr fontId="1"/>
  </si>
  <si>
    <t xml:space="preserve">  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</si>
  <si>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</si>
  <si>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</si>
  <si>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Notes : 1.Ratio of net worth =</t>
    <phoneticPr fontId="1"/>
  </si>
  <si>
    <t>Net assets - Subscription rights to shares</t>
    <phoneticPr fontId="1"/>
  </si>
  <si>
    <t xml:space="preserve"> ×100</t>
    <phoneticPr fontId="1"/>
  </si>
  <si>
    <t>Liabilities and Net assets</t>
    <phoneticPr fontId="1"/>
  </si>
  <si>
    <t xml:space="preserve">        2.All Industries and Non-Manufacturing don't include Finance and Insurance.</t>
    <phoneticPr fontId="1"/>
  </si>
  <si>
    <t>a　Electrical machinery</t>
    <phoneticPr fontId="1"/>
  </si>
  <si>
    <t>b　Information communication electronics</t>
    <phoneticPr fontId="1"/>
  </si>
  <si>
    <t>[ 815,489]</t>
    <phoneticPr fontId="1"/>
  </si>
  <si>
    <t>[16.6]</t>
    <phoneticPr fontId="1"/>
  </si>
  <si>
    <t>[ 781,052]</t>
    <phoneticPr fontId="1"/>
  </si>
  <si>
    <t>[835,707]</t>
    <phoneticPr fontId="1"/>
  </si>
  <si>
    <t>[7.0]</t>
    <phoneticPr fontId="1"/>
  </si>
  <si>
    <t>[851,394]</t>
    <phoneticPr fontId="1"/>
  </si>
  <si>
    <t>[1.9]</t>
    <phoneticPr fontId="1"/>
  </si>
  <si>
    <t>[-4.2]</t>
    <phoneticPr fontId="1"/>
  </si>
  <si>
    <t>[ including eating and drinking places ]</t>
    <phoneticPr fontId="1"/>
  </si>
  <si>
    <t>[5,558,053]</t>
    <phoneticPr fontId="1"/>
  </si>
  <si>
    <t>[8.9]</t>
    <phoneticPr fontId="1"/>
  </si>
  <si>
    <t>[5,545,506]</t>
    <phoneticPr fontId="1"/>
  </si>
  <si>
    <t>[-0.2]</t>
    <phoneticPr fontId="1"/>
  </si>
  <si>
    <t>[5,996,151]</t>
    <phoneticPr fontId="1"/>
  </si>
  <si>
    <t>[8.1]</t>
    <phoneticPr fontId="1"/>
  </si>
  <si>
    <t>[6,125,037]</t>
    <phoneticPr fontId="1"/>
  </si>
  <si>
    <t>[2.1]</t>
    <phoneticPr fontId="1"/>
  </si>
  <si>
    <t>[ a ＋　b ]</t>
    <phoneticPr fontId="1"/>
  </si>
  <si>
    <t>[ c ＋ d ]</t>
    <phoneticPr fontId="1"/>
  </si>
  <si>
    <t>c　Information communications</t>
    <phoneticPr fontId="1"/>
  </si>
  <si>
    <t>d　Transportation</t>
    <phoneticPr fontId="1"/>
  </si>
  <si>
    <t>[1,115,603]</t>
    <phoneticPr fontId="1"/>
  </si>
  <si>
    <t>[33.9]</t>
    <phoneticPr fontId="1"/>
  </si>
  <si>
    <t>[1,135,690]</t>
    <phoneticPr fontId="1"/>
  </si>
  <si>
    <t>[1.8]</t>
    <phoneticPr fontId="1"/>
  </si>
  <si>
    <t>[1,266,816]</t>
    <phoneticPr fontId="1"/>
  </si>
  <si>
    <t>[11.5]</t>
    <phoneticPr fontId="1"/>
  </si>
  <si>
    <t>[1,231,976]</t>
    <phoneticPr fontId="1"/>
  </si>
  <si>
    <t>[-2.8]</t>
    <phoneticPr fontId="1"/>
  </si>
  <si>
    <t>a　Electrical machinery</t>
    <phoneticPr fontId="1"/>
  </si>
  <si>
    <t>[ a ＋ b ]</t>
    <phoneticPr fontId="1"/>
  </si>
  <si>
    <t>[29,753]</t>
    <phoneticPr fontId="1"/>
  </si>
  <si>
    <t>[39.1]</t>
    <phoneticPr fontId="1"/>
  </si>
  <si>
    <t>[26,667]</t>
    <phoneticPr fontId="1"/>
  </si>
  <si>
    <t>[-10.4]</t>
    <phoneticPr fontId="1"/>
  </si>
  <si>
    <t>[33,409]</t>
    <phoneticPr fontId="1"/>
  </si>
  <si>
    <t>[25.3]</t>
    <phoneticPr fontId="1"/>
  </si>
  <si>
    <t>[33,056]</t>
    <phoneticPr fontId="1"/>
  </si>
  <si>
    <t>[-1.1]</t>
    <phoneticPr fontId="1"/>
  </si>
  <si>
    <t>[80,515]</t>
    <phoneticPr fontId="1"/>
  </si>
  <si>
    <t>[18.3]</t>
    <phoneticPr fontId="1"/>
  </si>
  <si>
    <t>[96,293]</t>
    <phoneticPr fontId="1"/>
  </si>
  <si>
    <t>[19.6]</t>
    <phoneticPr fontId="1"/>
  </si>
  <si>
    <t>[91,401]</t>
    <phoneticPr fontId="1"/>
  </si>
  <si>
    <t>[-5.1]</t>
    <phoneticPr fontId="1"/>
  </si>
  <si>
    <t>[91,519]</t>
    <phoneticPr fontId="1"/>
  </si>
  <si>
    <t>[0.1]</t>
    <phoneticPr fontId="1"/>
  </si>
  <si>
    <t>c　Information communications</t>
    <phoneticPr fontId="1"/>
  </si>
  <si>
    <t>d　Transportation</t>
    <phoneticPr fontId="1"/>
  </si>
  <si>
    <t>[ c ＋ d ]</t>
    <phoneticPr fontId="1"/>
  </si>
  <si>
    <t>[55,717]</t>
    <phoneticPr fontId="1"/>
  </si>
  <si>
    <t>[42.4]</t>
    <phoneticPr fontId="1"/>
  </si>
  <si>
    <t>[62,136]</t>
    <phoneticPr fontId="1"/>
  </si>
  <si>
    <t>[11.5]</t>
    <phoneticPr fontId="1"/>
  </si>
  <si>
    <t>[68,104]</t>
    <phoneticPr fontId="1"/>
  </si>
  <si>
    <t>[9.6]</t>
    <phoneticPr fontId="1"/>
  </si>
  <si>
    <t>[68,271]</t>
    <phoneticPr fontId="1"/>
  </si>
  <si>
    <t>[0.2]</t>
    <phoneticPr fontId="1"/>
  </si>
  <si>
    <t>c　Information communications</t>
    <phoneticPr fontId="1"/>
  </si>
  <si>
    <t>[3.2]</t>
    <phoneticPr fontId="1"/>
  </si>
  <si>
    <t>[2.9]</t>
    <phoneticPr fontId="1"/>
  </si>
  <si>
    <t>[3.6]</t>
    <phoneticPr fontId="1"/>
  </si>
  <si>
    <t>[3.4]</t>
    <phoneticPr fontId="1"/>
  </si>
  <si>
    <t>[4.0]</t>
    <phoneticPr fontId="1"/>
  </si>
  <si>
    <t>[3.9]</t>
    <phoneticPr fontId="1"/>
  </si>
  <si>
    <t>[1.2]</t>
    <phoneticPr fontId="1"/>
  </si>
  <si>
    <t>[1.4]</t>
    <phoneticPr fontId="1"/>
  </si>
  <si>
    <t>[1.1]</t>
    <phoneticPr fontId="1"/>
  </si>
  <si>
    <t>[1.7]</t>
    <phoneticPr fontId="1"/>
  </si>
  <si>
    <t>[1.5]</t>
    <phoneticPr fontId="1"/>
  </si>
  <si>
    <t>[5.4]</t>
    <phoneticPr fontId="1"/>
  </si>
  <si>
    <t>[5.7]</t>
    <phoneticPr fontId="1"/>
  </si>
  <si>
    <t>[5.5]</t>
    <phoneticPr fontId="1"/>
  </si>
  <si>
    <t>[5.0]</t>
    <phoneticPr fontId="1"/>
  </si>
  <si>
    <t>[30,207]</t>
    <phoneticPr fontId="1"/>
  </si>
  <si>
    <t>[70.8]</t>
    <phoneticPr fontId="1"/>
  </si>
  <si>
    <t>[27,303]</t>
    <phoneticPr fontId="1"/>
  </si>
  <si>
    <t>[-9.6]</t>
    <phoneticPr fontId="1"/>
  </si>
  <si>
    <t>[33,652]</t>
    <phoneticPr fontId="1"/>
  </si>
  <si>
    <t>[23.3]</t>
    <phoneticPr fontId="1"/>
  </si>
  <si>
    <t>[31,889]</t>
    <phoneticPr fontId="1"/>
  </si>
  <si>
    <t>[-5.2]</t>
    <phoneticPr fontId="1"/>
  </si>
  <si>
    <t>[41,809]</t>
    <phoneticPr fontId="1"/>
  </si>
  <si>
    <t>[-25.5]</t>
    <phoneticPr fontId="1"/>
  </si>
  <si>
    <t>[36,610]</t>
    <phoneticPr fontId="1"/>
  </si>
  <si>
    <t>[-12.4]</t>
    <phoneticPr fontId="1"/>
  </si>
  <si>
    <t>[33,881]</t>
    <phoneticPr fontId="1"/>
  </si>
  <si>
    <t>[-7.5]</t>
    <phoneticPr fontId="1"/>
  </si>
  <si>
    <t>[39,609]</t>
    <phoneticPr fontId="1"/>
  </si>
  <si>
    <t>[16.9]</t>
    <phoneticPr fontId="1"/>
  </si>
  <si>
    <t>[71,227]</t>
    <phoneticPr fontId="1"/>
  </si>
  <si>
    <t>[265.1]</t>
    <phoneticPr fontId="1"/>
  </si>
  <si>
    <t>[66,190]</t>
    <phoneticPr fontId="1"/>
  </si>
  <si>
    <t>[-7.1]</t>
    <phoneticPr fontId="1"/>
  </si>
  <si>
    <t>[87,048]</t>
    <phoneticPr fontId="1"/>
  </si>
  <si>
    <t>[31.5]</t>
    <phoneticPr fontId="1"/>
  </si>
  <si>
    <t>[67,408]</t>
    <phoneticPr fontId="1"/>
  </si>
  <si>
    <t>[-22.6]</t>
    <phoneticPr fontId="1"/>
  </si>
  <si>
    <t>[-522]</t>
    <phoneticPr fontId="1"/>
  </si>
  <si>
    <t>[2,539]</t>
    <phoneticPr fontId="1"/>
  </si>
  <si>
    <t>[4,508]</t>
    <phoneticPr fontId="1"/>
  </si>
  <si>
    <t>[-275]</t>
    <phoneticPr fontId="1"/>
  </si>
  <si>
    <t>[6,553]</t>
    <phoneticPr fontId="1"/>
  </si>
  <si>
    <t>[9,529]</t>
    <phoneticPr fontId="1"/>
  </si>
  <si>
    <t>[17,070]</t>
    <phoneticPr fontId="1"/>
  </si>
  <si>
    <t>[9,066]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</si>
</sst>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#,##0.0_ "/>
    <numFmt numFmtId="178" formatCode="0.0_ "/>
    <numFmt numFmtId="179" formatCode="#,##0.0;&quot;△ &quot;#,##0.0"/>
    <numFmt numFmtId="180" formatCode="#,##0;&quot;△ &quot;#,##0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06">
    <xf numFmtId="0" fontId="0" fillId="0" borderId="0" xfId="0"/>
    <xf numFmtId="0" fontId="2" fillId="0" borderId="0" xfId="2" applyFont="1" applyFill="1"/>
    <xf numFmtId="0" fontId="4" fillId="0" borderId="0" xfId="2" applyFont="1" applyFill="1"/>
    <xf numFmtId="0" fontId="4" fillId="0" borderId="0" xfId="2" applyFont="1" applyFill="1" applyAlignment="1">
      <alignment horizontal="right"/>
    </xf>
    <xf numFmtId="49" fontId="5" fillId="0" borderId="1" xfId="2" applyNumberFormat="1" applyFont="1" applyFill="1" applyBorder="1" applyAlignment="1">
      <alignment horizontal="center"/>
    </xf>
    <xf numFmtId="0" fontId="4" fillId="0" borderId="2" xfId="2" applyFont="1" applyBorder="1" applyAlignment="1">
      <alignment horizontal="center" wrapText="1"/>
    </xf>
    <xf numFmtId="176" fontId="5" fillId="0" borderId="3" xfId="2" applyNumberFormat="1" applyFont="1" applyFill="1" applyBorder="1" applyAlignment="1">
      <alignment shrinkToFit="1"/>
    </xf>
    <xf numFmtId="177" fontId="5" fillId="0" borderId="3" xfId="2" applyNumberFormat="1" applyFont="1" applyBorder="1" applyAlignment="1">
      <alignment shrinkToFit="1"/>
    </xf>
    <xf numFmtId="0" fontId="5" fillId="0" borderId="4" xfId="2" applyFont="1" applyFill="1" applyBorder="1" applyAlignment="1">
      <alignment horizontal="left"/>
    </xf>
    <xf numFmtId="176" fontId="5" fillId="0" borderId="4" xfId="2" applyNumberFormat="1" applyFont="1" applyBorder="1" applyAlignment="1">
      <alignment shrinkToFit="1"/>
    </xf>
    <xf numFmtId="177" fontId="5" fillId="0" borderId="4" xfId="2" applyNumberFormat="1" applyFont="1" applyBorder="1" applyAlignment="1">
      <alignment shrinkToFit="1"/>
    </xf>
    <xf numFmtId="0" fontId="4" fillId="0" borderId="0" xfId="1" applyFont="1"/>
    <xf numFmtId="176" fontId="5" fillId="0" borderId="3" xfId="2" applyNumberFormat="1" applyFont="1" applyBorder="1" applyAlignment="1">
      <alignment shrinkToFit="1"/>
    </xf>
    <xf numFmtId="176" fontId="5" fillId="0" borderId="1" xfId="2" applyNumberFormat="1" applyFont="1" applyBorder="1" applyAlignment="1">
      <alignment shrinkToFit="1"/>
    </xf>
    <xf numFmtId="177" fontId="5" fillId="0" borderId="1" xfId="2" applyNumberFormat="1" applyFont="1" applyBorder="1" applyAlignment="1">
      <alignment shrinkToFit="1"/>
    </xf>
    <xf numFmtId="0" fontId="5" fillId="0" borderId="0" xfId="2" applyFont="1" applyFill="1" applyBorder="1"/>
    <xf numFmtId="49" fontId="5" fillId="0" borderId="0" xfId="2" applyNumberFormat="1" applyFont="1" applyFill="1" applyBorder="1" applyAlignment="1">
      <alignment horizontal="center"/>
    </xf>
    <xf numFmtId="0" fontId="4" fillId="0" borderId="0" xfId="2" applyFont="1" applyFill="1" applyBorder="1"/>
    <xf numFmtId="0" fontId="5" fillId="0" borderId="0" xfId="2" applyFont="1" applyFill="1" applyBorder="1" applyAlignment="1">
      <alignment horizontal="left"/>
    </xf>
    <xf numFmtId="0" fontId="5" fillId="0" borderId="5" xfId="2" applyFont="1" applyFill="1" applyBorder="1"/>
    <xf numFmtId="49" fontId="5" fillId="0" borderId="5" xfId="2" applyNumberFormat="1" applyFont="1" applyFill="1" applyBorder="1" applyAlignment="1">
      <alignment horizontal="center"/>
    </xf>
    <xf numFmtId="177" fontId="5" fillId="0" borderId="3" xfId="2" applyNumberFormat="1" applyFont="1" applyBorder="1" applyAlignment="1">
      <alignment horizontal="right" shrinkToFit="1"/>
    </xf>
    <xf numFmtId="177" fontId="5" fillId="0" borderId="4" xfId="2" applyNumberFormat="1" applyFont="1" applyBorder="1" applyAlignment="1">
      <alignment horizontal="right" shrinkToFit="1"/>
    </xf>
    <xf numFmtId="177" fontId="5" fillId="0" borderId="1" xfId="2" applyNumberFormat="1" applyFont="1" applyBorder="1" applyAlignment="1">
      <alignment horizontal="right" shrinkToFit="1"/>
    </xf>
    <xf numFmtId="49" fontId="5" fillId="0" borderId="0" xfId="2" applyNumberFormat="1" applyFont="1" applyFill="1" applyBorder="1" applyAlignment="1">
      <alignment horizontal="left"/>
    </xf>
    <xf numFmtId="0" fontId="6" fillId="0" borderId="0" xfId="2" applyFont="1" applyFill="1"/>
    <xf numFmtId="49" fontId="5" fillId="0" borderId="2" xfId="2" applyNumberFormat="1" applyFont="1" applyFill="1" applyBorder="1" applyAlignment="1">
      <alignment horizontal="center"/>
    </xf>
    <xf numFmtId="177" fontId="5" fillId="0" borderId="3" xfId="2" applyNumberFormat="1" applyFont="1" applyFill="1" applyBorder="1" applyAlignment="1">
      <alignment horizontal="center" shrinkToFit="1"/>
    </xf>
    <xf numFmtId="177" fontId="5" fillId="0" borderId="4" xfId="2" applyNumberFormat="1" applyFont="1" applyFill="1" applyBorder="1" applyAlignment="1">
      <alignment horizontal="center" shrinkToFit="1"/>
    </xf>
    <xf numFmtId="176" fontId="5" fillId="0" borderId="4" xfId="2" applyNumberFormat="1" applyFont="1" applyFill="1" applyBorder="1" applyAlignment="1">
      <alignment horizontal="right" shrinkToFit="1"/>
    </xf>
    <xf numFmtId="178" fontId="5" fillId="0" borderId="4" xfId="2" applyNumberFormat="1" applyFont="1" applyBorder="1" applyAlignment="1">
      <alignment horizontal="right" shrinkToFit="1"/>
    </xf>
    <xf numFmtId="176" fontId="5" fillId="0" borderId="4" xfId="2" applyNumberFormat="1" applyFont="1" applyBorder="1" applyAlignment="1">
      <alignment horizontal="right" shrinkToFit="1"/>
    </xf>
    <xf numFmtId="177" fontId="5" fillId="0" borderId="4" xfId="3" applyNumberFormat="1" applyFont="1" applyBorder="1" applyAlignment="1">
      <alignment horizontal="right" shrinkToFit="1"/>
    </xf>
    <xf numFmtId="176" fontId="5" fillId="0" borderId="1" xfId="2" applyNumberFormat="1" applyFont="1" applyBorder="1" applyAlignment="1">
      <alignment horizontal="right" shrinkToFit="1"/>
    </xf>
    <xf numFmtId="178" fontId="5" fillId="0" borderId="1" xfId="2" applyNumberFormat="1" applyFont="1" applyBorder="1" applyAlignment="1">
      <alignment horizontal="right" shrinkToFit="1"/>
    </xf>
    <xf numFmtId="176" fontId="5" fillId="0" borderId="3" xfId="2" applyNumberFormat="1" applyFont="1" applyFill="1" applyBorder="1" applyAlignment="1">
      <alignment horizontal="right" shrinkToFit="1"/>
    </xf>
    <xf numFmtId="0" fontId="5" fillId="0" borderId="4" xfId="2" applyFont="1" applyFill="1" applyBorder="1" applyAlignment="1">
      <alignment horizontal="left" vertical="top" wrapText="1"/>
    </xf>
    <xf numFmtId="0" fontId="7" fillId="0" borderId="3" xfId="2" applyFont="1" applyFill="1" applyBorder="1" applyAlignment="1">
      <alignment horizontal="left"/>
    </xf>
    <xf numFmtId="179" fontId="4" fillId="0" borderId="6" xfId="2" applyNumberFormat="1" applyFont="1" applyBorder="1" applyAlignment="1">
      <alignment horizontal="right" shrinkToFit="1"/>
    </xf>
    <xf numFmtId="179" fontId="5" fillId="0" borderId="7" xfId="2" applyNumberFormat="1" applyFont="1" applyBorder="1" applyAlignment="1">
      <alignment horizontal="right" shrinkToFit="1"/>
    </xf>
    <xf numFmtId="177" fontId="5" fillId="0" borderId="8" xfId="2" applyNumberFormat="1" applyFont="1" applyBorder="1" applyAlignment="1">
      <alignment horizontal="right" shrinkToFit="1"/>
    </xf>
    <xf numFmtId="177" fontId="5" fillId="0" borderId="9" xfId="2" applyNumberFormat="1" applyFont="1" applyBorder="1" applyAlignment="1">
      <alignment horizontal="right" shrinkToFit="1"/>
    </xf>
    <xf numFmtId="180" fontId="5" fillId="0" borderId="8" xfId="2" applyNumberFormat="1" applyFont="1" applyBorder="1" applyAlignment="1">
      <alignment horizontal="right" shrinkToFit="1"/>
    </xf>
    <xf numFmtId="180" fontId="5" fillId="0" borderId="9" xfId="2" applyNumberFormat="1" applyFont="1" applyBorder="1" applyAlignment="1">
      <alignment horizontal="right" shrinkToFit="1"/>
    </xf>
    <xf numFmtId="0" fontId="5" fillId="0" borderId="1" xfId="2" applyFont="1" applyFill="1" applyBorder="1" applyAlignment="1">
      <alignment horizontal="left" vertical="top" wrapText="1"/>
    </xf>
    <xf numFmtId="176" fontId="5" fillId="0" borderId="10" xfId="2" applyNumberFormat="1" applyFont="1" applyBorder="1" applyAlignment="1">
      <alignment horizontal="right" shrinkToFit="1"/>
    </xf>
    <xf numFmtId="176" fontId="5" fillId="0" borderId="11" xfId="2" applyNumberFormat="1" applyFont="1" applyBorder="1" applyAlignment="1">
      <alignment horizontal="right" shrinkToFit="1"/>
    </xf>
    <xf numFmtId="0" fontId="5" fillId="0" borderId="0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49" fontId="5" fillId="0" borderId="12" xfId="2" applyNumberFormat="1" applyFont="1" applyFill="1" applyBorder="1" applyAlignment="1">
      <alignment horizontal="center"/>
    </xf>
    <xf numFmtId="49" fontId="5" fillId="0" borderId="3" xfId="2" applyNumberFormat="1" applyFont="1" applyFill="1" applyBorder="1" applyAlignment="1">
      <alignment horizontal="center" vertical="center"/>
    </xf>
    <xf numFmtId="176" fontId="5" fillId="0" borderId="4" xfId="2" applyNumberFormat="1" applyFont="1" applyFill="1" applyBorder="1" applyAlignment="1">
      <alignment shrinkToFit="1"/>
    </xf>
    <xf numFmtId="177" fontId="5" fillId="0" borderId="8" xfId="2" applyNumberFormat="1" applyFont="1" applyBorder="1" applyAlignment="1">
      <alignment shrinkToFit="1"/>
    </xf>
    <xf numFmtId="176" fontId="5" fillId="0" borderId="0" xfId="2" applyNumberFormat="1" applyFont="1" applyBorder="1" applyAlignment="1">
      <alignment shrinkToFit="1"/>
    </xf>
    <xf numFmtId="177" fontId="5" fillId="0" borderId="0" xfId="2" applyNumberFormat="1" applyFont="1" applyBorder="1" applyAlignment="1">
      <alignment shrinkToFit="1"/>
    </xf>
    <xf numFmtId="0" fontId="5" fillId="0" borderId="3" xfId="2" applyFont="1" applyFill="1" applyBorder="1" applyAlignment="1">
      <alignment horizontal="left" vertical="top" wrapText="1"/>
    </xf>
    <xf numFmtId="49" fontId="5" fillId="0" borderId="3" xfId="2" applyNumberFormat="1" applyFont="1" applyBorder="1" applyAlignment="1">
      <alignment horizontal="center" shrinkToFit="1"/>
    </xf>
    <xf numFmtId="178" fontId="5" fillId="0" borderId="1" xfId="2" applyNumberFormat="1" applyFont="1" applyBorder="1" applyAlignment="1">
      <alignment shrinkToFit="1"/>
    </xf>
    <xf numFmtId="0" fontId="5" fillId="0" borderId="0" xfId="2" applyFont="1" applyFill="1"/>
    <xf numFmtId="177" fontId="5" fillId="0" borderId="3" xfId="2" applyNumberFormat="1" applyFont="1" applyBorder="1" applyAlignment="1">
      <alignment horizontal="center" shrinkToFit="1"/>
    </xf>
    <xf numFmtId="177" fontId="5" fillId="0" borderId="4" xfId="3" applyNumberFormat="1" applyFont="1" applyBorder="1" applyAlignment="1">
      <alignment shrinkToFit="1"/>
    </xf>
    <xf numFmtId="180" fontId="5" fillId="0" borderId="6" xfId="2" applyNumberFormat="1" applyFont="1" applyBorder="1" applyAlignment="1">
      <alignment shrinkToFit="1"/>
    </xf>
    <xf numFmtId="179" fontId="4" fillId="0" borderId="7" xfId="2" applyNumberFormat="1" applyFont="1" applyBorder="1" applyAlignment="1">
      <alignment shrinkToFit="1"/>
    </xf>
    <xf numFmtId="178" fontId="5" fillId="0" borderId="3" xfId="3" applyNumberFormat="1" applyFont="1" applyBorder="1" applyAlignment="1">
      <alignment horizontal="right" shrinkToFit="1"/>
    </xf>
    <xf numFmtId="178" fontId="5" fillId="0" borderId="4" xfId="3" applyNumberFormat="1" applyFont="1" applyBorder="1" applyAlignment="1">
      <alignment horizontal="right" shrinkToFit="1"/>
    </xf>
    <xf numFmtId="178" fontId="5" fillId="0" borderId="1" xfId="3" applyNumberFormat="1" applyFont="1" applyBorder="1" applyAlignment="1">
      <alignment horizontal="right" shrinkToFit="1"/>
    </xf>
    <xf numFmtId="49" fontId="5" fillId="0" borderId="4" xfId="2" applyNumberFormat="1" applyFont="1" applyFill="1" applyBorder="1" applyAlignment="1">
      <alignment horizontal="center" vertical="center"/>
    </xf>
    <xf numFmtId="179" fontId="5" fillId="0" borderId="3" xfId="2" applyNumberFormat="1" applyFont="1" applyFill="1" applyBorder="1" applyAlignment="1">
      <alignment horizontal="center" shrinkToFit="1"/>
    </xf>
    <xf numFmtId="177" fontId="5" fillId="0" borderId="4" xfId="2" applyNumberFormat="1" applyFont="1" applyBorder="1" applyAlignment="1">
      <alignment horizontal="center" shrinkToFit="1"/>
    </xf>
    <xf numFmtId="179" fontId="5" fillId="0" borderId="4" xfId="2" applyNumberFormat="1" applyFont="1" applyBorder="1" applyAlignment="1">
      <alignment horizontal="center" shrinkToFit="1"/>
    </xf>
    <xf numFmtId="177" fontId="5" fillId="0" borderId="1" xfId="2" applyNumberFormat="1" applyFont="1" applyBorder="1" applyAlignment="1">
      <alignment horizontal="center" shrinkToFit="1"/>
    </xf>
    <xf numFmtId="176" fontId="5" fillId="0" borderId="4" xfId="2" applyNumberFormat="1" applyFont="1" applyBorder="1" applyAlignment="1">
      <alignment vertical="center" shrinkToFit="1"/>
    </xf>
    <xf numFmtId="177" fontId="5" fillId="0" borderId="4" xfId="2" applyNumberFormat="1" applyFont="1" applyBorder="1" applyAlignment="1">
      <alignment vertical="center" shrinkToFit="1"/>
    </xf>
    <xf numFmtId="49" fontId="5" fillId="0" borderId="3" xfId="2" applyNumberFormat="1" applyFont="1" applyFill="1" applyBorder="1" applyAlignment="1">
      <alignment horizontal="center"/>
    </xf>
    <xf numFmtId="49" fontId="5" fillId="0" borderId="13" xfId="2" applyNumberFormat="1" applyFont="1" applyFill="1" applyBorder="1" applyAlignment="1">
      <alignment horizontal="center"/>
    </xf>
    <xf numFmtId="0" fontId="5" fillId="0" borderId="3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left"/>
    </xf>
    <xf numFmtId="0" fontId="5" fillId="0" borderId="6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left"/>
    </xf>
    <xf numFmtId="0" fontId="5" fillId="0" borderId="1" xfId="2" applyFont="1" applyFill="1" applyBorder="1" applyAlignment="1">
      <alignment horizontal="left"/>
    </xf>
    <xf numFmtId="177" fontId="5" fillId="0" borderId="4" xfId="2" applyNumberFormat="1" applyFont="1" applyBorder="1" applyAlignment="1">
      <alignment horizontal="right" vertical="center" shrinkToFit="1"/>
    </xf>
    <xf numFmtId="0" fontId="5" fillId="0" borderId="4" xfId="2" applyFont="1" applyFill="1" applyBorder="1" applyAlignment="1">
      <alignment horizontal="center"/>
    </xf>
    <xf numFmtId="176" fontId="5" fillId="0" borderId="4" xfId="2" applyNumberFormat="1" applyFont="1" applyBorder="1" applyAlignment="1">
      <alignment horizontal="right" vertical="center" shrinkToFit="1"/>
    </xf>
    <xf numFmtId="0" fontId="5" fillId="0" borderId="10" xfId="2" applyFont="1" applyFill="1" applyBorder="1" applyAlignment="1">
      <alignment horizontal="center" vertical="center"/>
    </xf>
    <xf numFmtId="49" fontId="5" fillId="0" borderId="2" xfId="2" applyNumberFormat="1" applyFont="1" applyFill="1" applyBorder="1" applyAlignment="1">
      <alignment horizontal="center"/>
    </xf>
    <xf numFmtId="0" fontId="5" fillId="0" borderId="3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vertical="center"/>
    </xf>
    <xf numFmtId="49" fontId="5" fillId="0" borderId="12" xfId="2" applyNumberFormat="1" applyFont="1" applyFill="1" applyBorder="1" applyAlignment="1">
      <alignment horizontal="center"/>
    </xf>
    <xf numFmtId="49" fontId="5" fillId="0" borderId="14" xfId="2" applyNumberFormat="1" applyFont="1" applyFill="1" applyBorder="1" applyAlignment="1">
      <alignment horizontal="center"/>
    </xf>
    <xf numFmtId="0" fontId="5" fillId="0" borderId="4" xfId="2" applyFont="1" applyFill="1" applyBorder="1" applyAlignment="1">
      <alignment horizontal="left" vertical="top" wrapText="1"/>
    </xf>
    <xf numFmtId="0" fontId="4" fillId="0" borderId="0" xfId="2" applyFont="1" applyFill="1" applyBorder="1" applyAlignment="1">
      <alignment vertical="center"/>
    </xf>
    <xf numFmtId="49" fontId="5" fillId="0" borderId="3" xfId="2" applyNumberFormat="1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center" vertical="center"/>
    </xf>
    <xf numFmtId="0" fontId="5" fillId="0" borderId="4" xfId="2" applyFont="1" applyFill="1" applyBorder="1" applyAlignment="1"/>
    <xf numFmtId="0" fontId="4" fillId="0" borderId="0" xfId="2" applyFont="1" applyFill="1" applyAlignment="1">
      <alignment vertical="center"/>
    </xf>
    <xf numFmtId="0" fontId="4" fillId="0" borderId="14" xfId="2" applyFont="1" applyFill="1" applyBorder="1" applyAlignment="1">
      <alignment horizontal="center"/>
    </xf>
    <xf numFmtId="0" fontId="5" fillId="0" borderId="0" xfId="2" applyFont="1" applyFill="1" applyAlignment="1">
      <alignment vertical="center"/>
    </xf>
    <xf numFmtId="0" fontId="5" fillId="0" borderId="12" xfId="2" applyFont="1" applyFill="1" applyBorder="1" applyAlignment="1">
      <alignment horizontal="center"/>
    </xf>
    <xf numFmtId="177" fontId="5" fillId="0" borderId="10" xfId="2" applyNumberFormat="1" applyFont="1" applyBorder="1" applyAlignment="1">
      <alignment horizontal="center" shrinkToFit="1"/>
    </xf>
    <xf numFmtId="177" fontId="5" fillId="0" borderId="11" xfId="2" applyNumberFormat="1" applyFont="1" applyBorder="1" applyAlignment="1">
      <alignment horizontal="center" shrinkToFit="1"/>
    </xf>
    <xf numFmtId="179" fontId="5" fillId="0" borderId="10" xfId="2" applyNumberFormat="1" applyFont="1" applyBorder="1" applyAlignment="1">
      <alignment horizontal="center" shrinkToFit="1"/>
    </xf>
    <xf numFmtId="179" fontId="5" fillId="0" borderId="11" xfId="2" applyNumberFormat="1" applyFont="1" applyBorder="1" applyAlignment="1">
      <alignment horizontal="center" shrinkToFit="1"/>
    </xf>
    <xf numFmtId="0" fontId="5" fillId="0" borderId="4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</cellXfs>
  <cellStyles count="4">
    <cellStyle name="Normal" xfId="0" builtinId="0"/>
    <cellStyle name="標準_帳票レイアウト(季報新聞発表用_英語)" xfId="1" xr:uid="{AFA62961-7398-4E9D-A228-9DE287F90FAA}"/>
    <cellStyle name="標準_帳票レイアウト(年報新聞発表用_日本語)" xfId="3" xr:uid="{94D700AB-3BCA-4677-B332-55C75D4E4317}"/>
    <cellStyle name="標準_帳票レイアウト(年報新聞発表用_英語)" xfId="2" xr:uid="{A3494170-3970-4337-BDBF-1BDF7651E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19050</xdr:rowOff>
    </xdr:from>
    <xdr:to>
      <xdr:col>1</xdr:col>
      <xdr:colOff>165100</xdr:colOff>
      <xdr:row>24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BFE7715-3C86-94A3-F3E2-EAFAA5F4F996}"/>
            </a:ext>
          </a:extLst>
        </xdr:cNvPr>
        <xdr:cNvSpPr>
          <a:spLocks/>
        </xdr:cNvSpPr>
      </xdr:nvSpPr>
      <xdr:spPr bwMode="auto">
        <a:xfrm>
          <a:off x="2457450" y="3708400"/>
          <a:ext cx="127000" cy="285750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133350</xdr:colOff>
      <xdr:row>42</xdr:row>
      <xdr:rowOff>146050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E2ED53F-23FD-7D00-D35C-DE5FEEE255F8}"/>
            </a:ext>
          </a:extLst>
        </xdr:cNvPr>
        <xdr:cNvSpPr>
          <a:spLocks/>
        </xdr:cNvSpPr>
      </xdr:nvSpPr>
      <xdr:spPr bwMode="auto">
        <a:xfrm>
          <a:off x="2419350" y="6432550"/>
          <a:ext cx="133350" cy="450850"/>
        </a:xfrm>
        <a:prstGeom prst="rightBrace">
          <a:avLst>
            <a:gd name="adj1" fmla="val 2817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22</xdr:row>
      <xdr:rowOff>12700</xdr:rowOff>
    </xdr:from>
    <xdr:to>
      <xdr:col>1</xdr:col>
      <xdr:colOff>165100</xdr:colOff>
      <xdr:row>25</xdr:row>
      <xdr:rowOff>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64B9E400-8239-29F2-2B36-8C55B34C8161}"/>
            </a:ext>
          </a:extLst>
        </xdr:cNvPr>
        <xdr:cNvSpPr>
          <a:spLocks/>
        </xdr:cNvSpPr>
      </xdr:nvSpPr>
      <xdr:spPr bwMode="auto">
        <a:xfrm>
          <a:off x="2425700" y="3600450"/>
          <a:ext cx="158750" cy="444500"/>
        </a:xfrm>
        <a:prstGeom prst="rightBrace">
          <a:avLst>
            <a:gd name="adj1" fmla="val 23333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39</xdr:row>
      <xdr:rowOff>146050</xdr:rowOff>
    </xdr:from>
    <xdr:to>
      <xdr:col>1</xdr:col>
      <xdr:colOff>184150</xdr:colOff>
      <xdr:row>43</xdr:row>
      <xdr:rowOff>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46DC3F0A-E8E2-74DE-DF7B-728370217D2E}"/>
            </a:ext>
          </a:extLst>
        </xdr:cNvPr>
        <xdr:cNvSpPr>
          <a:spLocks/>
        </xdr:cNvSpPr>
      </xdr:nvSpPr>
      <xdr:spPr bwMode="auto">
        <a:xfrm>
          <a:off x="2425700" y="6324600"/>
          <a:ext cx="177800" cy="463550"/>
        </a:xfrm>
        <a:prstGeom prst="rightBrace">
          <a:avLst>
            <a:gd name="adj1" fmla="val 2172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40</xdr:row>
      <xdr:rowOff>0</xdr:rowOff>
    </xdr:from>
    <xdr:to>
      <xdr:col>1</xdr:col>
      <xdr:colOff>133350</xdr:colOff>
      <xdr:row>43</xdr:row>
      <xdr:rowOff>12700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80842648-734F-FCE3-298E-D66CA578D2CF}"/>
            </a:ext>
          </a:extLst>
        </xdr:cNvPr>
        <xdr:cNvSpPr>
          <a:spLocks/>
        </xdr:cNvSpPr>
      </xdr:nvSpPr>
      <xdr:spPr bwMode="auto">
        <a:xfrm>
          <a:off x="2438400" y="6165850"/>
          <a:ext cx="114300" cy="469900"/>
        </a:xfrm>
        <a:prstGeom prst="rightBrace">
          <a:avLst>
            <a:gd name="adj1" fmla="val 34259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22</xdr:row>
      <xdr:rowOff>12700</xdr:rowOff>
    </xdr:from>
    <xdr:to>
      <xdr:col>1</xdr:col>
      <xdr:colOff>146050</xdr:colOff>
      <xdr:row>25</xdr:row>
      <xdr:rowOff>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C474A672-141A-63F0-0E42-9E2159426584}"/>
            </a:ext>
          </a:extLst>
        </xdr:cNvPr>
        <xdr:cNvSpPr>
          <a:spLocks/>
        </xdr:cNvSpPr>
      </xdr:nvSpPr>
      <xdr:spPr bwMode="auto">
        <a:xfrm>
          <a:off x="2438400" y="3435350"/>
          <a:ext cx="127000" cy="444500"/>
        </a:xfrm>
        <a:prstGeom prst="rightBrace">
          <a:avLst>
            <a:gd name="adj1" fmla="val 291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40</xdr:row>
      <xdr:rowOff>0</xdr:rowOff>
    </xdr:from>
    <xdr:to>
      <xdr:col>1</xdr:col>
      <xdr:colOff>184150</xdr:colOff>
      <xdr:row>42</xdr:row>
      <xdr:rowOff>146050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EFFB67F-A4C8-FBFD-13EB-A9EB7CAF4798}"/>
            </a:ext>
          </a:extLst>
        </xdr:cNvPr>
        <xdr:cNvSpPr>
          <a:spLocks/>
        </xdr:cNvSpPr>
      </xdr:nvSpPr>
      <xdr:spPr bwMode="auto">
        <a:xfrm>
          <a:off x="2425700" y="6330950"/>
          <a:ext cx="177800" cy="450850"/>
        </a:xfrm>
        <a:prstGeom prst="rightBrace">
          <a:avLst>
            <a:gd name="adj1" fmla="val 211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22</xdr:row>
      <xdr:rowOff>12700</xdr:rowOff>
    </xdr:from>
    <xdr:to>
      <xdr:col>1</xdr:col>
      <xdr:colOff>146050</xdr:colOff>
      <xdr:row>25</xdr:row>
      <xdr:rowOff>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8B885138-895F-AED9-98A4-C3DAFA178D3C}"/>
            </a:ext>
          </a:extLst>
        </xdr:cNvPr>
        <xdr:cNvSpPr>
          <a:spLocks/>
        </xdr:cNvSpPr>
      </xdr:nvSpPr>
      <xdr:spPr bwMode="auto">
        <a:xfrm>
          <a:off x="2419350" y="3600450"/>
          <a:ext cx="146050" cy="444500"/>
        </a:xfrm>
        <a:prstGeom prst="rightBrace">
          <a:avLst>
            <a:gd name="adj1" fmla="val 2536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076E-278E-4FEE-B307-4BDD00373C93}">
  <dimension ref="A1:K144"/>
  <sheetViews>
    <sheetView tabSelected="1" zoomScaleNormal="100" zoomScaleSheetLayoutView="70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A1" s="1" t="s">
        <v>0</v>
      </c>
    </row>
    <row r="2" spans="1:11" ht="19">
      <c r="D2" s="1" t="s">
        <v>1</v>
      </c>
    </row>
    <row r="3" spans="1:11" ht="11.5" thickBot="1">
      <c r="K3" s="3" t="s">
        <v>2</v>
      </c>
    </row>
    <row r="4" spans="1:11" ht="12" customHeight="1" thickBot="1">
      <c r="A4" s="77" t="s">
        <v>3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78"/>
      <c r="B5" s="4"/>
      <c r="C5" s="5" t="s">
        <v>4</v>
      </c>
      <c r="D5" s="4"/>
      <c r="E5" s="5" t="s">
        <v>4</v>
      </c>
      <c r="F5" s="4"/>
      <c r="G5" s="5" t="s">
        <v>4</v>
      </c>
      <c r="H5" s="4"/>
      <c r="I5" s="5" t="s">
        <v>4</v>
      </c>
      <c r="J5" s="4"/>
      <c r="K5" s="5" t="s">
        <v>4</v>
      </c>
    </row>
    <row r="6" spans="1:11" ht="12" customHeight="1">
      <c r="A6" s="75" t="s">
        <v>5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76"/>
      <c r="B7" s="9">
        <v>13346736.560000001</v>
      </c>
      <c r="C7" s="10">
        <v>0.59328400000000003</v>
      </c>
      <c r="D7" s="9">
        <v>14203558.76</v>
      </c>
      <c r="E7" s="10">
        <v>6.4197129999999998</v>
      </c>
      <c r="F7" s="9">
        <v>15081206.9</v>
      </c>
      <c r="G7" s="10">
        <v>6.1790719999999997</v>
      </c>
      <c r="H7" s="9">
        <v>15664328.5</v>
      </c>
      <c r="I7" s="10">
        <v>3.8665449999999999</v>
      </c>
      <c r="J7" s="9">
        <v>15801713.369999999</v>
      </c>
      <c r="K7" s="10">
        <v>0.87705599999999995</v>
      </c>
    </row>
    <row r="8" spans="1:11" ht="12" customHeight="1">
      <c r="A8" s="76" t="s">
        <v>6</v>
      </c>
      <c r="B8" s="9"/>
      <c r="C8" s="10"/>
      <c r="D8" s="9"/>
      <c r="E8" s="10"/>
      <c r="F8" s="9"/>
      <c r="G8" s="10"/>
      <c r="H8" s="9"/>
      <c r="I8" s="10"/>
      <c r="J8" s="9"/>
      <c r="K8" s="10"/>
    </row>
    <row r="9" spans="1:11" ht="12" customHeight="1">
      <c r="A9" s="76"/>
      <c r="B9" s="9">
        <v>3849498.67</v>
      </c>
      <c r="C9" s="10">
        <v>1.9650460000000001</v>
      </c>
      <c r="D9" s="9">
        <v>4096885.33</v>
      </c>
      <c r="E9" s="10">
        <v>6.4264640000000002</v>
      </c>
      <c r="F9" s="9">
        <v>4349949.37</v>
      </c>
      <c r="G9" s="10">
        <v>6.1769860000000003</v>
      </c>
      <c r="H9" s="9">
        <v>4503358.04</v>
      </c>
      <c r="I9" s="10">
        <v>3.5266769999999998</v>
      </c>
      <c r="J9" s="9">
        <v>4717090.99</v>
      </c>
      <c r="K9" s="10">
        <v>4.7460789999999999</v>
      </c>
    </row>
    <row r="10" spans="1:11" ht="12" customHeight="1">
      <c r="A10" s="76" t="s">
        <v>7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76"/>
      <c r="B11" s="9">
        <v>418198.23</v>
      </c>
      <c r="C11" s="10">
        <v>-6.438447</v>
      </c>
      <c r="D11" s="9">
        <v>449955.34</v>
      </c>
      <c r="E11" s="10">
        <v>7.5937929999999998</v>
      </c>
      <c r="F11" s="9">
        <v>439495.83</v>
      </c>
      <c r="G11" s="10">
        <v>-2.3245659999999999</v>
      </c>
      <c r="H11" s="9">
        <v>470088.8</v>
      </c>
      <c r="I11" s="10">
        <v>6.9609240000000003</v>
      </c>
      <c r="J11" s="9">
        <v>447780.24</v>
      </c>
      <c r="K11" s="10">
        <v>-4.7456060000000004</v>
      </c>
    </row>
    <row r="12" spans="1:11" ht="12" customHeight="1">
      <c r="A12" s="76" t="s">
        <v>8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76"/>
      <c r="B13" s="9">
        <v>375180.19</v>
      </c>
      <c r="C13" s="10">
        <v>4.3627750000000001</v>
      </c>
      <c r="D13" s="9">
        <v>359900.6</v>
      </c>
      <c r="E13" s="10">
        <v>-4.0726000000000004</v>
      </c>
      <c r="F13" s="9">
        <v>413335.61</v>
      </c>
      <c r="G13" s="10">
        <v>14.847158</v>
      </c>
      <c r="H13" s="9">
        <v>401953.91</v>
      </c>
      <c r="I13" s="10">
        <v>-2.753622</v>
      </c>
      <c r="J13" s="9">
        <v>422246.74</v>
      </c>
      <c r="K13" s="10">
        <v>5.048546</v>
      </c>
    </row>
    <row r="14" spans="1:11" s="11" customFormat="1" ht="12" customHeight="1">
      <c r="A14" s="79" t="s">
        <v>9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s="11" customFormat="1" ht="12" customHeight="1">
      <c r="A15" s="79"/>
      <c r="B15" s="9">
        <v>146273.45000000001</v>
      </c>
      <c r="C15" s="10">
        <v>1.871389</v>
      </c>
      <c r="D15" s="9">
        <v>161921.74</v>
      </c>
      <c r="E15" s="10">
        <v>10.69797</v>
      </c>
      <c r="F15" s="9">
        <v>200810.52</v>
      </c>
      <c r="G15" s="10">
        <v>24.017022000000001</v>
      </c>
      <c r="H15" s="9">
        <v>193327.86</v>
      </c>
      <c r="I15" s="10">
        <v>-3.726229</v>
      </c>
      <c r="J15" s="9">
        <v>214136.65</v>
      </c>
      <c r="K15" s="10">
        <v>10.763472</v>
      </c>
    </row>
    <row r="16" spans="1:11" s="11" customFormat="1" ht="12" customHeight="1">
      <c r="A16" s="79" t="s">
        <v>10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s="11" customFormat="1" ht="12" customHeight="1">
      <c r="A17" s="79"/>
      <c r="B17" s="9">
        <v>129350.29</v>
      </c>
      <c r="C17" s="10">
        <v>3.3779539999999999</v>
      </c>
      <c r="D17" s="9">
        <v>156049.03</v>
      </c>
      <c r="E17" s="10">
        <v>20.640650000000001</v>
      </c>
      <c r="F17" s="9">
        <v>184094.51</v>
      </c>
      <c r="G17" s="10">
        <v>17.972223</v>
      </c>
      <c r="H17" s="9">
        <v>198639.7</v>
      </c>
      <c r="I17" s="10">
        <v>7.9009359999999997</v>
      </c>
      <c r="J17" s="9">
        <v>219097.22</v>
      </c>
      <c r="K17" s="10">
        <v>10.298807</v>
      </c>
    </row>
    <row r="18" spans="1:11" ht="12" customHeight="1">
      <c r="A18" s="76" t="s">
        <v>11</v>
      </c>
      <c r="B18" s="9"/>
      <c r="C18" s="10"/>
      <c r="D18" s="9"/>
      <c r="E18" s="10"/>
      <c r="F18" s="9"/>
      <c r="G18" s="10"/>
      <c r="H18" s="9"/>
      <c r="I18" s="10"/>
      <c r="J18" s="9"/>
      <c r="K18" s="10"/>
    </row>
    <row r="19" spans="1:11" ht="12" customHeight="1">
      <c r="A19" s="76"/>
      <c r="B19" s="9">
        <v>160659.74</v>
      </c>
      <c r="C19" s="10">
        <v>-5.4199919999999997</v>
      </c>
      <c r="D19" s="9">
        <v>198490.67</v>
      </c>
      <c r="E19" s="10">
        <v>23.547236999999999</v>
      </c>
      <c r="F19" s="9">
        <v>200565.46</v>
      </c>
      <c r="G19" s="10">
        <v>1.045283</v>
      </c>
      <c r="H19" s="9">
        <v>192394.07</v>
      </c>
      <c r="I19" s="10">
        <v>-4.0741759999999996</v>
      </c>
      <c r="J19" s="9">
        <v>233498.79</v>
      </c>
      <c r="K19" s="10">
        <v>21.364858000000002</v>
      </c>
    </row>
    <row r="20" spans="1:11" ht="12" customHeight="1">
      <c r="A20" s="76" t="s">
        <v>12</v>
      </c>
      <c r="B20" s="9"/>
      <c r="C20" s="10"/>
      <c r="D20" s="9"/>
      <c r="E20" s="10"/>
      <c r="F20" s="9"/>
      <c r="G20" s="10"/>
      <c r="H20" s="9"/>
      <c r="I20" s="10"/>
      <c r="J20" s="9"/>
      <c r="K20" s="10"/>
    </row>
    <row r="21" spans="1:11" ht="12" customHeight="1">
      <c r="A21" s="76"/>
      <c r="B21" s="9">
        <v>303135.49</v>
      </c>
      <c r="C21" s="10">
        <v>11.929935</v>
      </c>
      <c r="D21" s="9">
        <v>322410.37</v>
      </c>
      <c r="E21" s="10">
        <v>6.3585029999999998</v>
      </c>
      <c r="F21" s="9">
        <v>354555.84</v>
      </c>
      <c r="G21" s="10">
        <v>9.9703590000000002</v>
      </c>
      <c r="H21" s="9">
        <v>370382.98</v>
      </c>
      <c r="I21" s="10">
        <v>4.4639340000000001</v>
      </c>
      <c r="J21" s="9">
        <v>399990.88</v>
      </c>
      <c r="K21" s="10">
        <v>7.9938609999999999</v>
      </c>
    </row>
    <row r="22" spans="1:11" ht="12" customHeight="1">
      <c r="A22" s="76" t="s">
        <v>167</v>
      </c>
      <c r="B22" s="9"/>
      <c r="C22" s="10"/>
      <c r="D22" s="9"/>
      <c r="E22" s="10"/>
      <c r="F22" s="9"/>
      <c r="G22" s="10"/>
      <c r="H22" s="9"/>
      <c r="I22" s="10"/>
      <c r="J22" s="9"/>
      <c r="K22" s="10"/>
    </row>
    <row r="23" spans="1:11" ht="12" customHeight="1">
      <c r="A23" s="76"/>
      <c r="B23" s="83">
        <v>699689.91</v>
      </c>
      <c r="C23" s="81">
        <v>2.1847759999999998</v>
      </c>
      <c r="D23" s="9">
        <v>468263.22</v>
      </c>
      <c r="E23" s="10"/>
      <c r="F23" s="9">
        <v>447772.71</v>
      </c>
      <c r="G23" s="10">
        <v>-4.3758530000000002</v>
      </c>
      <c r="H23" s="9">
        <v>477757.98</v>
      </c>
      <c r="I23" s="10">
        <v>6.6965380000000003</v>
      </c>
      <c r="J23" s="9">
        <v>493708.83</v>
      </c>
      <c r="K23" s="10">
        <v>3.3386879999999999</v>
      </c>
    </row>
    <row r="24" spans="1:11" ht="12" customHeight="1">
      <c r="A24" s="76" t="s">
        <v>168</v>
      </c>
      <c r="B24" s="83"/>
      <c r="C24" s="81"/>
      <c r="D24" s="9"/>
      <c r="E24" s="10"/>
      <c r="F24" s="9"/>
      <c r="G24" s="10"/>
      <c r="H24" s="9"/>
      <c r="I24" s="10"/>
      <c r="J24" s="9"/>
      <c r="K24" s="10"/>
    </row>
    <row r="25" spans="1:11" ht="12" customHeight="1">
      <c r="A25" s="76"/>
      <c r="B25" s="9"/>
      <c r="C25" s="10"/>
      <c r="D25" s="9">
        <v>347226.48</v>
      </c>
      <c r="E25" s="10"/>
      <c r="F25" s="9">
        <v>333279.15999999997</v>
      </c>
      <c r="G25" s="10">
        <v>-4.0167789999999997</v>
      </c>
      <c r="H25" s="9">
        <v>357948.97</v>
      </c>
      <c r="I25" s="10">
        <v>7.4021460000000001</v>
      </c>
      <c r="J25" s="9">
        <v>357684.5</v>
      </c>
      <c r="K25" s="10">
        <v>-7.3885000000000006E-2</v>
      </c>
    </row>
    <row r="26" spans="1:11" ht="12" customHeight="1">
      <c r="A26" s="82" t="s">
        <v>186</v>
      </c>
      <c r="B26" s="9"/>
      <c r="C26" s="10"/>
      <c r="D26" s="9"/>
      <c r="E26" s="10"/>
      <c r="F26" s="9"/>
      <c r="G26" s="10"/>
      <c r="H26" s="9"/>
      <c r="I26" s="10"/>
      <c r="J26" s="9"/>
      <c r="K26" s="10"/>
    </row>
    <row r="27" spans="1:11" ht="12" customHeight="1">
      <c r="A27" s="82"/>
      <c r="B27" s="9"/>
      <c r="C27" s="10"/>
      <c r="D27" s="31" t="s">
        <v>169</v>
      </c>
      <c r="E27" s="22" t="s">
        <v>170</v>
      </c>
      <c r="F27" s="31" t="s">
        <v>171</v>
      </c>
      <c r="G27" s="22" t="s">
        <v>176</v>
      </c>
      <c r="H27" s="31" t="s">
        <v>172</v>
      </c>
      <c r="I27" s="31" t="s">
        <v>173</v>
      </c>
      <c r="J27" s="31" t="s">
        <v>174</v>
      </c>
      <c r="K27" s="31" t="s">
        <v>175</v>
      </c>
    </row>
    <row r="28" spans="1:11" ht="12" customHeight="1">
      <c r="A28" s="76" t="s">
        <v>13</v>
      </c>
      <c r="B28" s="9"/>
      <c r="C28" s="10"/>
      <c r="D28" s="9"/>
      <c r="E28" s="10"/>
      <c r="F28" s="9"/>
      <c r="G28" s="10"/>
      <c r="H28" s="9"/>
      <c r="I28" s="10"/>
      <c r="J28" s="9"/>
      <c r="K28" s="10"/>
    </row>
    <row r="29" spans="1:11" ht="12" customHeight="1">
      <c r="A29" s="76"/>
      <c r="B29" s="9">
        <v>591122</v>
      </c>
      <c r="C29" s="10">
        <v>7.2</v>
      </c>
      <c r="D29" s="9">
        <v>585496.78</v>
      </c>
      <c r="E29" s="10">
        <v>-1</v>
      </c>
      <c r="F29" s="9">
        <v>614598.99</v>
      </c>
      <c r="G29" s="10">
        <v>4.9705159999999999</v>
      </c>
      <c r="H29" s="9">
        <v>697662.25</v>
      </c>
      <c r="I29" s="10">
        <v>13.515034</v>
      </c>
      <c r="J29" s="9">
        <v>741550.12</v>
      </c>
      <c r="K29" s="10">
        <v>6.2907039999999999</v>
      </c>
    </row>
    <row r="30" spans="1:11" ht="12" customHeight="1">
      <c r="A30" s="76" t="s">
        <v>14</v>
      </c>
      <c r="B30" s="9"/>
      <c r="C30" s="10"/>
      <c r="D30" s="9"/>
      <c r="E30" s="10"/>
      <c r="F30" s="9"/>
      <c r="G30" s="10"/>
      <c r="H30" s="9"/>
      <c r="I30" s="10"/>
      <c r="J30" s="9"/>
      <c r="K30" s="10"/>
    </row>
    <row r="31" spans="1:11" ht="12" customHeight="1">
      <c r="A31" s="76"/>
      <c r="B31" s="9">
        <v>9497237.8900000006</v>
      </c>
      <c r="C31" s="10">
        <v>4.7724999999999997E-2</v>
      </c>
      <c r="D31" s="9">
        <v>10106673.43</v>
      </c>
      <c r="E31" s="10">
        <v>6.4169770000000002</v>
      </c>
      <c r="F31" s="9">
        <v>10731257.529999999</v>
      </c>
      <c r="G31" s="10">
        <v>6.1799179999999998</v>
      </c>
      <c r="H31" s="9">
        <v>11160970.460000001</v>
      </c>
      <c r="I31" s="10">
        <v>4.0043110000000004</v>
      </c>
      <c r="J31" s="9">
        <v>11084622.380000001</v>
      </c>
      <c r="K31" s="10">
        <v>-0.68406299999999998</v>
      </c>
    </row>
    <row r="32" spans="1:11" ht="12" customHeight="1">
      <c r="A32" s="76" t="s">
        <v>15</v>
      </c>
      <c r="B32" s="9"/>
      <c r="C32" s="10"/>
      <c r="D32" s="9"/>
      <c r="E32" s="10"/>
      <c r="F32" s="9"/>
      <c r="G32" s="10"/>
      <c r="H32" s="9"/>
      <c r="I32" s="10"/>
      <c r="J32" s="9"/>
      <c r="K32" s="10"/>
    </row>
    <row r="33" spans="1:11" ht="12" customHeight="1">
      <c r="A33" s="76"/>
      <c r="B33" s="9">
        <v>1274553.7</v>
      </c>
      <c r="C33" s="10">
        <v>-5.8997919999999997</v>
      </c>
      <c r="D33" s="9">
        <v>1248006.81</v>
      </c>
      <c r="E33" s="10">
        <v>-2.0828380000000002</v>
      </c>
      <c r="F33" s="9">
        <v>1288562.1499999999</v>
      </c>
      <c r="G33" s="10">
        <v>3.249609</v>
      </c>
      <c r="H33" s="9">
        <v>1349908.45</v>
      </c>
      <c r="I33" s="10">
        <v>4.760834</v>
      </c>
      <c r="J33" s="9">
        <v>1350155.42</v>
      </c>
      <c r="K33" s="10">
        <v>1.8294999999999999E-2</v>
      </c>
    </row>
    <row r="34" spans="1:11" ht="12" customHeight="1">
      <c r="A34" s="76" t="s">
        <v>16</v>
      </c>
      <c r="B34" s="9"/>
      <c r="C34" s="10"/>
      <c r="D34" s="9"/>
      <c r="E34" s="10"/>
      <c r="F34" s="9"/>
      <c r="G34" s="10"/>
      <c r="H34" s="9"/>
      <c r="I34" s="10"/>
      <c r="J34" s="9"/>
      <c r="K34" s="10"/>
    </row>
    <row r="35" spans="1:11" ht="12" customHeight="1">
      <c r="A35" s="76"/>
      <c r="B35" s="9">
        <v>5103098.18</v>
      </c>
      <c r="C35" s="10">
        <v>-1.187074</v>
      </c>
      <c r="D35" s="9">
        <v>5344470.41</v>
      </c>
      <c r="E35" s="10"/>
      <c r="F35" s="9">
        <v>5370331.9000000004</v>
      </c>
      <c r="G35" s="10">
        <v>0.48389199999999999</v>
      </c>
      <c r="H35" s="9">
        <v>5845161.3600000003</v>
      </c>
      <c r="I35" s="10">
        <v>8.8417150000000007</v>
      </c>
      <c r="J35" s="9">
        <v>5972861.75</v>
      </c>
      <c r="K35" s="10">
        <v>2.18472</v>
      </c>
    </row>
    <row r="36" spans="1:11" ht="12" customHeight="1">
      <c r="A36" s="82" t="s">
        <v>177</v>
      </c>
      <c r="B36" s="9"/>
      <c r="C36" s="10"/>
      <c r="D36" s="9"/>
      <c r="E36" s="10"/>
      <c r="F36" s="9"/>
      <c r="G36" s="10"/>
      <c r="H36" s="9"/>
      <c r="I36" s="10"/>
      <c r="J36" s="9"/>
      <c r="K36" s="10"/>
    </row>
    <row r="37" spans="1:11" ht="12" customHeight="1">
      <c r="A37" s="82"/>
      <c r="B37" s="9"/>
      <c r="C37" s="10"/>
      <c r="D37" s="31" t="s">
        <v>178</v>
      </c>
      <c r="E37" s="22" t="s">
        <v>179</v>
      </c>
      <c r="F37" s="31" t="s">
        <v>180</v>
      </c>
      <c r="G37" s="22" t="s">
        <v>181</v>
      </c>
      <c r="H37" s="31" t="s">
        <v>182</v>
      </c>
      <c r="I37" s="22" t="s">
        <v>183</v>
      </c>
      <c r="J37" s="31" t="s">
        <v>184</v>
      </c>
      <c r="K37" s="22" t="s">
        <v>185</v>
      </c>
    </row>
    <row r="38" spans="1:11" ht="12" customHeight="1">
      <c r="A38" s="76" t="s">
        <v>17</v>
      </c>
      <c r="B38" s="9"/>
      <c r="C38" s="10"/>
      <c r="D38" s="9"/>
      <c r="E38" s="10"/>
      <c r="F38" s="9"/>
      <c r="G38" s="10"/>
      <c r="H38" s="9"/>
      <c r="I38" s="10"/>
      <c r="J38" s="9"/>
      <c r="K38" s="10"/>
    </row>
    <row r="39" spans="1:11" ht="12" customHeight="1">
      <c r="A39" s="76"/>
      <c r="B39" s="9">
        <v>336282.81</v>
      </c>
      <c r="C39" s="10">
        <v>0.45454800000000001</v>
      </c>
      <c r="D39" s="9">
        <v>332506.93</v>
      </c>
      <c r="E39" s="10">
        <v>-1.1228290000000001</v>
      </c>
      <c r="F39" s="9">
        <v>344996.71</v>
      </c>
      <c r="G39" s="10">
        <v>3.7562470000000001</v>
      </c>
      <c r="H39" s="9">
        <v>338586.48</v>
      </c>
      <c r="I39" s="10">
        <v>-1.858055</v>
      </c>
      <c r="J39" s="9">
        <v>370946.49</v>
      </c>
      <c r="K39" s="10">
        <v>9.5573840000000008</v>
      </c>
    </row>
    <row r="40" spans="1:11" ht="12" customHeight="1">
      <c r="A40" s="76" t="s">
        <v>188</v>
      </c>
      <c r="B40" s="9"/>
      <c r="C40" s="10"/>
      <c r="D40" s="9"/>
      <c r="E40" s="10"/>
      <c r="F40" s="9"/>
      <c r="G40" s="10"/>
      <c r="H40" s="9"/>
      <c r="I40" s="10"/>
      <c r="J40" s="9"/>
      <c r="K40" s="10"/>
    </row>
    <row r="41" spans="1:11" ht="12" customHeight="1">
      <c r="A41" s="76"/>
      <c r="B41" s="71"/>
      <c r="C41" s="81">
        <v>3.4</v>
      </c>
      <c r="D41" s="9">
        <v>527568.55000000005</v>
      </c>
      <c r="E41" s="10"/>
      <c r="F41" s="9">
        <v>558954.6</v>
      </c>
      <c r="G41" s="10">
        <v>5.9491889999999996</v>
      </c>
      <c r="H41" s="9">
        <v>589864.86</v>
      </c>
      <c r="I41" s="10">
        <v>5.5300130000000003</v>
      </c>
      <c r="J41" s="9">
        <v>558367.02</v>
      </c>
      <c r="K41" s="10">
        <v>-5.3398399999999997</v>
      </c>
    </row>
    <row r="42" spans="1:11" ht="12" customHeight="1">
      <c r="A42" s="76" t="s">
        <v>189</v>
      </c>
      <c r="B42" s="71">
        <v>832882</v>
      </c>
      <c r="C42" s="81"/>
      <c r="D42" s="9"/>
      <c r="E42" s="10"/>
      <c r="F42" s="9"/>
      <c r="G42" s="10"/>
      <c r="H42" s="9"/>
      <c r="I42" s="10"/>
      <c r="J42" s="9"/>
      <c r="K42" s="10"/>
    </row>
    <row r="43" spans="1:11" ht="12" customHeight="1">
      <c r="A43" s="76"/>
      <c r="B43" s="9"/>
      <c r="C43" s="10"/>
      <c r="D43" s="9">
        <v>588034</v>
      </c>
      <c r="E43" s="10"/>
      <c r="F43" s="9">
        <v>576735.09</v>
      </c>
      <c r="G43" s="10">
        <v>-1.9215610000000001</v>
      </c>
      <c r="H43" s="9">
        <v>676950.53</v>
      </c>
      <c r="I43" s="10">
        <v>17.376338000000001</v>
      </c>
      <c r="J43" s="9">
        <v>673608.74</v>
      </c>
      <c r="K43" s="10">
        <v>-0.49365399999999998</v>
      </c>
    </row>
    <row r="44" spans="1:11" ht="12" customHeight="1">
      <c r="A44" s="82" t="s">
        <v>187</v>
      </c>
      <c r="B44" s="9"/>
      <c r="C44" s="10"/>
      <c r="D44" s="9"/>
      <c r="E44" s="10"/>
      <c r="F44" s="9"/>
      <c r="G44" s="10"/>
      <c r="H44" s="9"/>
      <c r="I44" s="10"/>
      <c r="J44" s="9"/>
      <c r="K44" s="10"/>
    </row>
    <row r="45" spans="1:11" ht="12" customHeight="1">
      <c r="A45" s="82"/>
      <c r="B45" s="9"/>
      <c r="C45" s="10"/>
      <c r="D45" s="31" t="s">
        <v>190</v>
      </c>
      <c r="E45" s="22" t="s">
        <v>191</v>
      </c>
      <c r="F45" s="31" t="s">
        <v>192</v>
      </c>
      <c r="G45" s="22" t="s">
        <v>193</v>
      </c>
      <c r="H45" s="31" t="s">
        <v>194</v>
      </c>
      <c r="I45" s="22" t="s">
        <v>195</v>
      </c>
      <c r="J45" s="31" t="s">
        <v>196</v>
      </c>
      <c r="K45" s="22" t="s">
        <v>197</v>
      </c>
    </row>
    <row r="46" spans="1:11" ht="12" customHeight="1">
      <c r="A46" s="76" t="s">
        <v>18</v>
      </c>
      <c r="B46" s="9"/>
      <c r="C46" s="10"/>
      <c r="D46" s="9"/>
      <c r="E46" s="10"/>
      <c r="F46" s="9"/>
      <c r="G46" s="10"/>
      <c r="H46" s="9"/>
      <c r="I46" s="10"/>
      <c r="J46" s="9"/>
      <c r="K46" s="10"/>
    </row>
    <row r="47" spans="1:11" ht="12" customHeight="1">
      <c r="A47" s="76"/>
      <c r="B47" s="9">
        <v>151458.94</v>
      </c>
      <c r="C47" s="10">
        <v>-2.6320950000000001</v>
      </c>
      <c r="D47" s="9">
        <v>161344.56</v>
      </c>
      <c r="E47" s="10">
        <v>6.5269310000000003</v>
      </c>
      <c r="F47" s="9">
        <v>165454.6</v>
      </c>
      <c r="G47" s="10">
        <v>2.5473680000000001</v>
      </c>
      <c r="H47" s="9">
        <v>167821.74</v>
      </c>
      <c r="I47" s="10">
        <v>1.4306890000000001</v>
      </c>
      <c r="J47" s="9">
        <v>175027.63</v>
      </c>
      <c r="K47" s="10">
        <v>4.2937760000000003</v>
      </c>
    </row>
    <row r="48" spans="1:11" ht="12" customHeight="1">
      <c r="A48" s="76" t="s">
        <v>19</v>
      </c>
      <c r="B48" s="9"/>
      <c r="C48" s="10"/>
      <c r="D48" s="9"/>
      <c r="E48" s="10"/>
      <c r="F48" s="9"/>
      <c r="G48" s="10"/>
      <c r="H48" s="9"/>
      <c r="I48" s="10"/>
      <c r="J48" s="9"/>
      <c r="K48" s="10"/>
    </row>
    <row r="49" spans="1:11" ht="12" customHeight="1">
      <c r="A49" s="76"/>
      <c r="B49" s="9">
        <v>1738957.29</v>
      </c>
      <c r="C49" s="10">
        <v>7.7838229999999999</v>
      </c>
      <c r="D49" s="9">
        <v>1531158.81</v>
      </c>
      <c r="E49" s="10">
        <v>-11.949602000000001</v>
      </c>
      <c r="F49" s="9">
        <v>2061933.81</v>
      </c>
      <c r="G49" s="10">
        <v>34.664921999999997</v>
      </c>
      <c r="H49" s="9">
        <v>1846745.63</v>
      </c>
      <c r="I49" s="10">
        <v>-10.436230999999999</v>
      </c>
      <c r="J49" s="9">
        <v>1646826.5</v>
      </c>
      <c r="K49" s="10">
        <v>-10.825483</v>
      </c>
    </row>
    <row r="50" spans="1:11" ht="12" customHeight="1" thickBot="1">
      <c r="A50" s="8"/>
      <c r="B50" s="9"/>
      <c r="C50" s="10"/>
      <c r="D50" s="9"/>
      <c r="E50" s="10"/>
      <c r="F50" s="9"/>
      <c r="G50" s="10"/>
      <c r="H50" s="9"/>
      <c r="I50" s="10"/>
      <c r="J50" s="9"/>
      <c r="K50" s="10"/>
    </row>
    <row r="51" spans="1:11" ht="12" customHeight="1">
      <c r="A51" s="75" t="s">
        <v>20</v>
      </c>
      <c r="B51" s="12"/>
      <c r="C51" s="7"/>
      <c r="D51" s="12"/>
      <c r="E51" s="7"/>
      <c r="F51" s="12"/>
      <c r="G51" s="7"/>
      <c r="H51" s="12"/>
      <c r="I51" s="7"/>
      <c r="J51" s="12"/>
      <c r="K51" s="7"/>
    </row>
    <row r="52" spans="1:11" ht="12" customHeight="1">
      <c r="A52" s="76"/>
      <c r="B52" s="9"/>
      <c r="C52" s="10"/>
      <c r="D52" s="9"/>
      <c r="E52" s="10"/>
      <c r="F52" s="9"/>
      <c r="G52" s="10"/>
      <c r="H52" s="9"/>
      <c r="I52" s="10"/>
      <c r="J52" s="9"/>
      <c r="K52" s="10"/>
    </row>
    <row r="53" spans="1:11" ht="12" customHeight="1">
      <c r="A53" s="76" t="s">
        <v>21</v>
      </c>
      <c r="B53" s="9"/>
      <c r="C53" s="10"/>
      <c r="D53" s="9"/>
      <c r="E53" s="10"/>
      <c r="F53" s="9"/>
      <c r="G53" s="10"/>
      <c r="H53" s="9"/>
      <c r="I53" s="10"/>
      <c r="J53" s="9"/>
      <c r="K53" s="10"/>
    </row>
    <row r="54" spans="1:11" ht="12" customHeight="1">
      <c r="A54" s="76"/>
      <c r="B54" s="9">
        <v>5085312.2699999996</v>
      </c>
      <c r="C54" s="10">
        <v>1.5489390000000001</v>
      </c>
      <c r="D54" s="9">
        <v>5392590.1100000003</v>
      </c>
      <c r="E54" s="10">
        <v>6</v>
      </c>
      <c r="F54" s="9">
        <v>5652021.9299999997</v>
      </c>
      <c r="G54" s="10">
        <v>4.8108940000000002</v>
      </c>
      <c r="H54" s="9">
        <v>5980022.9400000004</v>
      </c>
      <c r="I54" s="10">
        <v>5.8032510000000004</v>
      </c>
      <c r="J54" s="9">
        <v>6220750.8799999999</v>
      </c>
      <c r="K54" s="10">
        <v>4.0255349999999996</v>
      </c>
    </row>
    <row r="55" spans="1:11" ht="12" customHeight="1">
      <c r="A55" s="76" t="s">
        <v>22</v>
      </c>
      <c r="B55" s="9"/>
      <c r="C55" s="10"/>
      <c r="D55" s="9"/>
      <c r="E55" s="10"/>
      <c r="F55" s="9"/>
      <c r="G55" s="10"/>
      <c r="H55" s="9"/>
      <c r="I55" s="10"/>
      <c r="J55" s="9"/>
      <c r="K55" s="10"/>
    </row>
    <row r="56" spans="1:11" ht="12" customHeight="1">
      <c r="A56" s="76"/>
      <c r="B56" s="9">
        <v>2103239.12</v>
      </c>
      <c r="C56" s="10">
        <v>3.4950969999999999</v>
      </c>
      <c r="D56" s="9">
        <v>2328366.9</v>
      </c>
      <c r="E56" s="10">
        <v>10.7</v>
      </c>
      <c r="F56" s="9">
        <v>2309334.89</v>
      </c>
      <c r="G56" s="10">
        <v>-0.81739700000000004</v>
      </c>
      <c r="H56" s="9">
        <v>2540417.12</v>
      </c>
      <c r="I56" s="10">
        <v>10.006441000000001</v>
      </c>
      <c r="J56" s="9">
        <v>2407752.7599999998</v>
      </c>
      <c r="K56" s="10">
        <v>-5.2221489999999999</v>
      </c>
    </row>
    <row r="57" spans="1:11" ht="12" customHeight="1">
      <c r="A57" s="76" t="s">
        <v>23</v>
      </c>
      <c r="B57" s="9"/>
      <c r="C57" s="10"/>
      <c r="D57" s="9"/>
      <c r="E57" s="10"/>
      <c r="F57" s="9"/>
      <c r="G57" s="10"/>
      <c r="H57" s="9"/>
      <c r="I57" s="10"/>
      <c r="J57" s="9"/>
      <c r="K57" s="10"/>
    </row>
    <row r="58" spans="1:11" ht="12" customHeight="1">
      <c r="A58" s="76"/>
      <c r="B58" s="9">
        <v>5119914.3</v>
      </c>
      <c r="C58" s="10">
        <v>-2.089683</v>
      </c>
      <c r="D58" s="9">
        <v>5343070.18</v>
      </c>
      <c r="E58" s="10">
        <v>4.3585859999999998</v>
      </c>
      <c r="F58" s="9">
        <v>6008178.9699999997</v>
      </c>
      <c r="G58" s="10">
        <v>12.448064</v>
      </c>
      <c r="H58" s="9">
        <v>5870092.1100000003</v>
      </c>
      <c r="I58" s="10">
        <v>-2.2983150000000001</v>
      </c>
      <c r="J58" s="9">
        <v>6063323.9400000004</v>
      </c>
      <c r="K58" s="10">
        <v>3.2918020000000001</v>
      </c>
    </row>
    <row r="59" spans="1:11" ht="12" customHeight="1">
      <c r="A59" s="76" t="s">
        <v>24</v>
      </c>
      <c r="B59" s="9"/>
      <c r="C59" s="10"/>
      <c r="D59" s="9"/>
      <c r="E59" s="10"/>
      <c r="F59" s="9"/>
      <c r="G59" s="10"/>
      <c r="H59" s="9"/>
      <c r="I59" s="10"/>
      <c r="J59" s="9"/>
      <c r="K59" s="10"/>
    </row>
    <row r="60" spans="1:11" ht="12" customHeight="1" thickBot="1">
      <c r="A60" s="80"/>
      <c r="B60" s="13">
        <v>1038270.87</v>
      </c>
      <c r="C60" s="14">
        <v>3.944013</v>
      </c>
      <c r="D60" s="13">
        <v>1139531.57</v>
      </c>
      <c r="E60" s="14">
        <v>9.7528210000000009</v>
      </c>
      <c r="F60" s="13">
        <v>1111671.1100000001</v>
      </c>
      <c r="G60" s="14">
        <v>-2.4449049999999999</v>
      </c>
      <c r="H60" s="13">
        <v>1273796.33</v>
      </c>
      <c r="I60" s="14">
        <v>14.583920000000001</v>
      </c>
      <c r="J60" s="13">
        <v>1109885.79</v>
      </c>
      <c r="K60" s="14">
        <v>-12.867877</v>
      </c>
    </row>
    <row r="61" spans="1:11" ht="7.5" customHeight="1">
      <c r="A61" s="15"/>
      <c r="B61" s="16"/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15" t="s">
        <v>25</v>
      </c>
      <c r="B62" s="16"/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/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/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36">
    <mergeCell ref="C41:C42"/>
    <mergeCell ref="A44:A45"/>
    <mergeCell ref="A26:A27"/>
    <mergeCell ref="B23:B24"/>
    <mergeCell ref="C23:C24"/>
    <mergeCell ref="A36:A37"/>
    <mergeCell ref="A38:A39"/>
    <mergeCell ref="A40:A41"/>
    <mergeCell ref="A42:A43"/>
    <mergeCell ref="A57:A58"/>
    <mergeCell ref="A59:A60"/>
    <mergeCell ref="A48:A49"/>
    <mergeCell ref="A51:A52"/>
    <mergeCell ref="A53:A54"/>
    <mergeCell ref="A55:A56"/>
    <mergeCell ref="A22:A23"/>
    <mergeCell ref="A24:A25"/>
    <mergeCell ref="A46:A47"/>
    <mergeCell ref="A28:A29"/>
    <mergeCell ref="A30:A31"/>
    <mergeCell ref="A32:A33"/>
    <mergeCell ref="A34:A35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4" orientation="landscape" horizontalDpi="300" verticalDpi="300" r:id="rId1"/>
  <headerFooter alignWithMargins="0"/>
  <rowBreaks count="1" manualBreakCount="1">
    <brk id="6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2D35-CA80-4F89-AE5F-1C4855170DCD}">
  <dimension ref="A2:K144"/>
  <sheetViews>
    <sheetView zoomScaleNormal="100" zoomScaleSheetLayoutView="70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2" spans="1:11" ht="19">
      <c r="D2" s="1" t="s">
        <v>26</v>
      </c>
    </row>
    <row r="3" spans="1:11" ht="11.5" thickBot="1">
      <c r="K3" s="3" t="s">
        <v>2</v>
      </c>
    </row>
    <row r="4" spans="1:11" ht="12" customHeight="1" thickBot="1">
      <c r="A4" s="77" t="s">
        <v>3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84"/>
      <c r="B5" s="4"/>
      <c r="C5" s="5" t="s">
        <v>4</v>
      </c>
      <c r="D5" s="4"/>
      <c r="E5" s="5" t="s">
        <v>4</v>
      </c>
      <c r="F5" s="4"/>
      <c r="G5" s="5" t="s">
        <v>4</v>
      </c>
      <c r="H5" s="4"/>
      <c r="I5" s="5" t="s">
        <v>4</v>
      </c>
      <c r="J5" s="4"/>
      <c r="K5" s="5" t="s">
        <v>4</v>
      </c>
    </row>
    <row r="6" spans="1:11" ht="12" customHeight="1">
      <c r="A6" s="75" t="s">
        <v>5</v>
      </c>
      <c r="B6" s="6"/>
      <c r="C6" s="21"/>
      <c r="D6" s="6"/>
      <c r="E6" s="21"/>
      <c r="F6" s="6"/>
      <c r="G6" s="21"/>
      <c r="H6" s="6"/>
      <c r="I6" s="21"/>
      <c r="J6" s="6"/>
      <c r="K6" s="21"/>
    </row>
    <row r="7" spans="1:11" ht="12" customHeight="1">
      <c r="A7" s="76"/>
      <c r="B7" s="9">
        <v>361988.66</v>
      </c>
      <c r="C7" s="22">
        <v>16.752040000000001</v>
      </c>
      <c r="D7" s="9">
        <v>447034.61</v>
      </c>
      <c r="E7" s="22">
        <v>23.494091999999998</v>
      </c>
      <c r="F7" s="9">
        <v>516926.35</v>
      </c>
      <c r="G7" s="22">
        <v>15.634525</v>
      </c>
      <c r="H7" s="9">
        <v>543785.87</v>
      </c>
      <c r="I7" s="22">
        <v>5.1960050000000004</v>
      </c>
      <c r="J7" s="9">
        <v>534892.80000000005</v>
      </c>
      <c r="K7" s="22">
        <v>-1.635399</v>
      </c>
    </row>
    <row r="8" spans="1:11" ht="12" customHeight="1">
      <c r="A8" s="76" t="s">
        <v>6</v>
      </c>
      <c r="B8" s="9"/>
      <c r="C8" s="22"/>
      <c r="D8" s="9"/>
      <c r="E8" s="22"/>
      <c r="F8" s="9"/>
      <c r="G8" s="22"/>
      <c r="H8" s="9"/>
      <c r="I8" s="22"/>
      <c r="J8" s="9"/>
      <c r="K8" s="22"/>
    </row>
    <row r="9" spans="1:11" ht="12" customHeight="1">
      <c r="A9" s="76"/>
      <c r="B9" s="9">
        <v>150863.20000000001</v>
      </c>
      <c r="C9" s="22">
        <v>24.278818000000001</v>
      </c>
      <c r="D9" s="9">
        <v>194724.51</v>
      </c>
      <c r="E9" s="22">
        <v>29.073564999999999</v>
      </c>
      <c r="F9" s="9">
        <v>217841.93</v>
      </c>
      <c r="G9" s="22">
        <v>11.871859000000001</v>
      </c>
      <c r="H9" s="9">
        <v>238066.21</v>
      </c>
      <c r="I9" s="22">
        <v>9.2839240000000007</v>
      </c>
      <c r="J9" s="9">
        <v>238903.11</v>
      </c>
      <c r="K9" s="22">
        <v>0.35154099999999999</v>
      </c>
    </row>
    <row r="10" spans="1:11" ht="12" customHeight="1">
      <c r="A10" s="76" t="s">
        <v>7</v>
      </c>
      <c r="B10" s="9"/>
      <c r="C10" s="22"/>
      <c r="D10" s="9"/>
      <c r="E10" s="22"/>
      <c r="F10" s="9"/>
      <c r="G10" s="22"/>
      <c r="H10" s="9"/>
      <c r="I10" s="22"/>
      <c r="J10" s="9"/>
      <c r="K10" s="22"/>
    </row>
    <row r="11" spans="1:11" ht="12" customHeight="1">
      <c r="A11" s="76"/>
      <c r="B11" s="9">
        <v>13350.06</v>
      </c>
      <c r="C11" s="22">
        <v>5.1029410000000004</v>
      </c>
      <c r="D11" s="9">
        <v>15217.68</v>
      </c>
      <c r="E11" s="22">
        <v>13.989599999999999</v>
      </c>
      <c r="F11" s="9">
        <v>13447.14</v>
      </c>
      <c r="G11" s="22">
        <v>-11.634755999999999</v>
      </c>
      <c r="H11" s="9">
        <v>13082.42</v>
      </c>
      <c r="I11" s="22">
        <v>-2.71225</v>
      </c>
      <c r="J11" s="9">
        <v>12367.15</v>
      </c>
      <c r="K11" s="22">
        <v>-5.4674139999999998</v>
      </c>
    </row>
    <row r="12" spans="1:11" ht="12" customHeight="1">
      <c r="A12" s="76" t="s">
        <v>8</v>
      </c>
      <c r="B12" s="9"/>
      <c r="C12" s="22"/>
      <c r="D12" s="9"/>
      <c r="E12" s="22"/>
      <c r="F12" s="9"/>
      <c r="G12" s="22"/>
      <c r="H12" s="9"/>
      <c r="I12" s="22"/>
      <c r="J12" s="9"/>
      <c r="K12" s="22"/>
    </row>
    <row r="13" spans="1:11" ht="12" customHeight="1">
      <c r="A13" s="76"/>
      <c r="B13" s="9">
        <v>28129.62</v>
      </c>
      <c r="C13" s="22">
        <v>2.5066549999999999</v>
      </c>
      <c r="D13" s="9">
        <v>35344.33</v>
      </c>
      <c r="E13" s="22">
        <v>25.648088999999999</v>
      </c>
      <c r="F13" s="9">
        <v>35614.76</v>
      </c>
      <c r="G13" s="22">
        <v>0.76512999999999998</v>
      </c>
      <c r="H13" s="9">
        <v>37589.75</v>
      </c>
      <c r="I13" s="22">
        <v>5.545426</v>
      </c>
      <c r="J13" s="9">
        <v>36291.83</v>
      </c>
      <c r="K13" s="22">
        <v>-3.4528560000000001</v>
      </c>
    </row>
    <row r="14" spans="1:11" s="11" customFormat="1" ht="12" customHeight="1">
      <c r="A14" s="79" t="s">
        <v>9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s="11" customFormat="1" ht="12" customHeight="1">
      <c r="A15" s="79"/>
      <c r="B15" s="9">
        <v>1737.43</v>
      </c>
      <c r="C15" s="10">
        <v>2.6728519999999998</v>
      </c>
      <c r="D15" s="9">
        <v>4557.74</v>
      </c>
      <c r="E15" s="10">
        <v>162.32653999999999</v>
      </c>
      <c r="F15" s="9">
        <v>5064.99</v>
      </c>
      <c r="G15" s="10">
        <v>11.129419</v>
      </c>
      <c r="H15" s="9">
        <v>4376.8599999999997</v>
      </c>
      <c r="I15" s="10">
        <v>-13.586009000000001</v>
      </c>
      <c r="J15" s="9">
        <v>2969.67</v>
      </c>
      <c r="K15" s="10">
        <v>-32.150674000000002</v>
      </c>
    </row>
    <row r="16" spans="1:11" s="11" customFormat="1" ht="12" customHeight="1">
      <c r="A16" s="79" t="s">
        <v>10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s="11" customFormat="1" ht="12" customHeight="1">
      <c r="A17" s="79"/>
      <c r="B17" s="9">
        <v>6332.13</v>
      </c>
      <c r="C17" s="10">
        <v>121.34742300000001</v>
      </c>
      <c r="D17" s="9">
        <v>14965.84</v>
      </c>
      <c r="E17" s="10">
        <v>136.34764300000001</v>
      </c>
      <c r="F17" s="9">
        <v>19457.740000000002</v>
      </c>
      <c r="G17" s="10">
        <v>30.014353</v>
      </c>
      <c r="H17" s="9">
        <v>19876.810000000001</v>
      </c>
      <c r="I17" s="10">
        <v>2.1537440000000001</v>
      </c>
      <c r="J17" s="9">
        <v>18736.150000000001</v>
      </c>
      <c r="K17" s="10">
        <v>-5.7386470000000003</v>
      </c>
    </row>
    <row r="18" spans="1:11" ht="12" customHeight="1">
      <c r="A18" s="76" t="s">
        <v>11</v>
      </c>
      <c r="B18" s="9"/>
      <c r="C18" s="22"/>
      <c r="D18" s="9"/>
      <c r="E18" s="22"/>
      <c r="F18" s="9"/>
      <c r="G18" s="22"/>
      <c r="H18" s="9"/>
      <c r="I18" s="22"/>
      <c r="J18" s="9"/>
      <c r="K18" s="22"/>
    </row>
    <row r="19" spans="1:11" ht="12" customHeight="1">
      <c r="A19" s="76"/>
      <c r="B19" s="9">
        <v>5637.51</v>
      </c>
      <c r="C19" s="22">
        <v>59.119545000000002</v>
      </c>
      <c r="D19" s="9">
        <v>7958.29</v>
      </c>
      <c r="E19" s="22">
        <v>41.166755999999999</v>
      </c>
      <c r="F19" s="9">
        <v>7429.54</v>
      </c>
      <c r="G19" s="22">
        <v>-6.6440149999999996</v>
      </c>
      <c r="H19" s="9">
        <v>7218.15</v>
      </c>
      <c r="I19" s="22">
        <v>-2.8452639999999998</v>
      </c>
      <c r="J19" s="9">
        <v>9274.26</v>
      </c>
      <c r="K19" s="22">
        <v>28.485277</v>
      </c>
    </row>
    <row r="20" spans="1:11" ht="12" customHeight="1">
      <c r="A20" s="76" t="s">
        <v>12</v>
      </c>
      <c r="B20" s="9"/>
      <c r="C20" s="22"/>
      <c r="D20" s="9"/>
      <c r="E20" s="22"/>
      <c r="F20" s="9"/>
      <c r="G20" s="22"/>
      <c r="H20" s="9"/>
      <c r="I20" s="22"/>
      <c r="J20" s="9"/>
      <c r="K20" s="22"/>
    </row>
    <row r="21" spans="1:11" ht="12" customHeight="1">
      <c r="A21" s="76"/>
      <c r="B21" s="9">
        <v>10790.9</v>
      </c>
      <c r="C21" s="22">
        <v>75.276537000000005</v>
      </c>
      <c r="D21" s="9">
        <v>15891.87</v>
      </c>
      <c r="E21" s="22">
        <v>47.271034</v>
      </c>
      <c r="F21" s="9">
        <v>19586.169999999998</v>
      </c>
      <c r="G21" s="22">
        <v>23.246478</v>
      </c>
      <c r="H21" s="9">
        <v>25197.51</v>
      </c>
      <c r="I21" s="22">
        <v>28.649501000000001</v>
      </c>
      <c r="J21" s="9">
        <v>26219.67</v>
      </c>
      <c r="K21" s="22">
        <v>4.0565910000000001</v>
      </c>
    </row>
    <row r="22" spans="1:11" ht="12" customHeight="1">
      <c r="A22" s="76" t="s">
        <v>198</v>
      </c>
      <c r="B22" s="9"/>
      <c r="C22" s="22"/>
      <c r="D22" s="9"/>
      <c r="E22" s="22"/>
      <c r="F22" s="9"/>
      <c r="G22" s="22"/>
      <c r="H22" s="9"/>
      <c r="I22" s="22"/>
      <c r="J22" s="9"/>
      <c r="K22" s="22"/>
    </row>
    <row r="23" spans="1:11" ht="12" customHeight="1">
      <c r="A23" s="76"/>
      <c r="B23" s="71"/>
      <c r="C23" s="72"/>
      <c r="D23" s="71">
        <v>16077.43</v>
      </c>
      <c r="E23" s="72"/>
      <c r="F23" s="9">
        <v>17362.41</v>
      </c>
      <c r="G23" s="22">
        <v>7.9924470000000003</v>
      </c>
      <c r="H23" s="9">
        <v>20096.14</v>
      </c>
      <c r="I23" s="22">
        <v>15.745107000000001</v>
      </c>
      <c r="J23" s="9">
        <v>21249.37</v>
      </c>
      <c r="K23" s="22">
        <v>5.7385650000000004</v>
      </c>
    </row>
    <row r="24" spans="1:11" ht="12" customHeight="1">
      <c r="A24" s="76" t="s">
        <v>168</v>
      </c>
      <c r="B24" s="71">
        <v>21392</v>
      </c>
      <c r="C24" s="72">
        <v>79.400000000000006</v>
      </c>
      <c r="D24" s="71"/>
      <c r="E24" s="72"/>
      <c r="F24" s="9"/>
      <c r="G24" s="22"/>
      <c r="H24" s="9"/>
      <c r="I24" s="22"/>
      <c r="J24" s="9"/>
      <c r="K24" s="22"/>
    </row>
    <row r="25" spans="1:11" ht="12" customHeight="1">
      <c r="A25" s="76"/>
      <c r="B25" s="9"/>
      <c r="C25" s="22"/>
      <c r="D25" s="9">
        <v>13676.27</v>
      </c>
      <c r="E25" s="22"/>
      <c r="F25" s="9">
        <v>9305.09</v>
      </c>
      <c r="G25" s="22">
        <v>-31.961784999999999</v>
      </c>
      <c r="H25" s="9">
        <v>13312.89</v>
      </c>
      <c r="I25" s="22">
        <v>43.07105</v>
      </c>
      <c r="J25" s="9">
        <v>11807.2</v>
      </c>
      <c r="K25" s="22">
        <v>-11.310015999999999</v>
      </c>
    </row>
    <row r="26" spans="1:11" ht="12" customHeight="1">
      <c r="A26" s="82" t="s">
        <v>199</v>
      </c>
      <c r="B26" s="9"/>
      <c r="C26" s="22"/>
      <c r="D26" s="9"/>
      <c r="E26" s="22"/>
      <c r="F26" s="9"/>
      <c r="G26" s="22"/>
      <c r="H26" s="9"/>
      <c r="I26" s="22"/>
      <c r="J26" s="9"/>
      <c r="K26" s="22"/>
    </row>
    <row r="27" spans="1:11" ht="12" customHeight="1">
      <c r="A27" s="82"/>
      <c r="B27" s="9"/>
      <c r="C27" s="22"/>
      <c r="D27" s="31" t="s">
        <v>200</v>
      </c>
      <c r="E27" s="22" t="s">
        <v>201</v>
      </c>
      <c r="F27" s="31" t="s">
        <v>202</v>
      </c>
      <c r="G27" s="22" t="s">
        <v>203</v>
      </c>
      <c r="H27" s="31" t="s">
        <v>204</v>
      </c>
      <c r="I27" s="22" t="s">
        <v>205</v>
      </c>
      <c r="J27" s="31" t="s">
        <v>206</v>
      </c>
      <c r="K27" s="22" t="s">
        <v>207</v>
      </c>
    </row>
    <row r="28" spans="1:11" ht="12" customHeight="1">
      <c r="A28" s="76" t="s">
        <v>13</v>
      </c>
      <c r="B28" s="9"/>
      <c r="C28" s="22"/>
      <c r="D28" s="9"/>
      <c r="E28" s="22"/>
      <c r="F28" s="9"/>
      <c r="G28" s="22"/>
      <c r="H28" s="9"/>
      <c r="I28" s="22"/>
      <c r="J28" s="9"/>
      <c r="K28" s="22"/>
    </row>
    <row r="29" spans="1:11" ht="12" customHeight="1">
      <c r="A29" s="76"/>
      <c r="B29" s="9">
        <v>28509</v>
      </c>
      <c r="C29" s="22">
        <v>12.9</v>
      </c>
      <c r="D29" s="9">
        <v>27113.9</v>
      </c>
      <c r="E29" s="22">
        <v>-4.9000000000000004</v>
      </c>
      <c r="F29" s="9">
        <v>35753.910000000003</v>
      </c>
      <c r="G29" s="22">
        <v>31.865611000000001</v>
      </c>
      <c r="H29" s="9">
        <v>38528.75</v>
      </c>
      <c r="I29" s="22">
        <v>7.7609409999999999</v>
      </c>
      <c r="J29" s="9">
        <v>43344.42</v>
      </c>
      <c r="K29" s="22">
        <v>12.498900000000001</v>
      </c>
    </row>
    <row r="30" spans="1:11" ht="12" customHeight="1">
      <c r="A30" s="76" t="s">
        <v>14</v>
      </c>
      <c r="B30" s="9"/>
      <c r="C30" s="22"/>
      <c r="D30" s="9"/>
      <c r="E30" s="22"/>
      <c r="F30" s="9"/>
      <c r="G30" s="22"/>
      <c r="H30" s="9"/>
      <c r="I30" s="22"/>
      <c r="J30" s="9"/>
      <c r="K30" s="22"/>
    </row>
    <row r="31" spans="1:11" ht="12" customHeight="1">
      <c r="A31" s="76"/>
      <c r="B31" s="9">
        <v>211125.46</v>
      </c>
      <c r="C31" s="22">
        <v>11.908982</v>
      </c>
      <c r="D31" s="9">
        <v>252310.1</v>
      </c>
      <c r="E31" s="22">
        <v>19.507187999999999</v>
      </c>
      <c r="F31" s="9">
        <v>299084.42</v>
      </c>
      <c r="G31" s="22">
        <v>18.538426000000001</v>
      </c>
      <c r="H31" s="9">
        <v>305719.65999999997</v>
      </c>
      <c r="I31" s="22">
        <v>2.2185169999999999</v>
      </c>
      <c r="J31" s="9">
        <v>295989.69</v>
      </c>
      <c r="K31" s="22">
        <v>-3.1826449999999999</v>
      </c>
    </row>
    <row r="32" spans="1:11" ht="12" customHeight="1">
      <c r="A32" s="76" t="s">
        <v>15</v>
      </c>
      <c r="B32" s="9"/>
      <c r="C32" s="22"/>
      <c r="D32" s="9"/>
      <c r="E32" s="22"/>
      <c r="F32" s="9"/>
      <c r="G32" s="22"/>
      <c r="H32" s="9"/>
      <c r="I32" s="22"/>
      <c r="J32" s="9"/>
      <c r="K32" s="22"/>
    </row>
    <row r="33" spans="1:11" ht="12" customHeight="1">
      <c r="A33" s="76"/>
      <c r="B33" s="9">
        <v>19883.37</v>
      </c>
      <c r="C33" s="22">
        <v>9.7047410000000003</v>
      </c>
      <c r="D33" s="9">
        <v>22993.61</v>
      </c>
      <c r="E33" s="22">
        <v>15.642419</v>
      </c>
      <c r="F33" s="9">
        <v>21331.95</v>
      </c>
      <c r="G33" s="22">
        <v>-7.2266159999999999</v>
      </c>
      <c r="H33" s="9">
        <v>24939.68</v>
      </c>
      <c r="I33" s="22">
        <v>16.912330999999998</v>
      </c>
      <c r="J33" s="9">
        <v>23084.93</v>
      </c>
      <c r="K33" s="22">
        <v>-7.4369440000000004</v>
      </c>
    </row>
    <row r="34" spans="1:11" ht="12" customHeight="1">
      <c r="A34" s="76" t="s">
        <v>16</v>
      </c>
      <c r="B34" s="9"/>
      <c r="C34" s="22"/>
      <c r="D34" s="9"/>
      <c r="E34" s="22"/>
      <c r="F34" s="9"/>
      <c r="G34" s="22"/>
      <c r="H34" s="9"/>
      <c r="I34" s="22"/>
      <c r="J34" s="9"/>
      <c r="K34" s="22"/>
    </row>
    <row r="35" spans="1:11" ht="12" customHeight="1">
      <c r="A35" s="76"/>
      <c r="B35" s="9">
        <v>68054.350000000006</v>
      </c>
      <c r="C35" s="22">
        <v>14.546818999999999</v>
      </c>
      <c r="D35" s="9">
        <v>78140.27</v>
      </c>
      <c r="E35" s="22"/>
      <c r="F35" s="9">
        <v>93757.23</v>
      </c>
      <c r="G35" s="22">
        <v>19.985802</v>
      </c>
      <c r="H35" s="9">
        <v>91052.74</v>
      </c>
      <c r="I35" s="22">
        <v>-2.8845670000000001</v>
      </c>
      <c r="J35" s="9">
        <v>89336</v>
      </c>
      <c r="K35" s="22">
        <v>-1.885435</v>
      </c>
    </row>
    <row r="36" spans="1:11" ht="12" customHeight="1">
      <c r="A36" s="82" t="s">
        <v>177</v>
      </c>
      <c r="B36" s="9"/>
      <c r="C36" s="22"/>
      <c r="D36" s="9"/>
      <c r="E36" s="22"/>
      <c r="F36" s="9"/>
      <c r="G36" s="22"/>
      <c r="H36" s="9"/>
      <c r="I36" s="22"/>
      <c r="J36" s="9"/>
      <c r="K36" s="22"/>
    </row>
    <row r="37" spans="1:11" ht="12" customHeight="1">
      <c r="A37" s="82"/>
      <c r="B37" s="9"/>
      <c r="C37" s="22"/>
      <c r="D37" s="31" t="s">
        <v>208</v>
      </c>
      <c r="E37" s="22" t="s">
        <v>209</v>
      </c>
      <c r="F37" s="31" t="s">
        <v>210</v>
      </c>
      <c r="G37" s="22" t="s">
        <v>211</v>
      </c>
      <c r="H37" s="31" t="s">
        <v>212</v>
      </c>
      <c r="I37" s="22" t="s">
        <v>213</v>
      </c>
      <c r="J37" s="31" t="s">
        <v>214</v>
      </c>
      <c r="K37" s="22" t="s">
        <v>215</v>
      </c>
    </row>
    <row r="38" spans="1:11" ht="12" customHeight="1">
      <c r="A38" s="76" t="s">
        <v>17</v>
      </c>
      <c r="B38" s="9"/>
      <c r="C38" s="22"/>
      <c r="D38" s="9"/>
      <c r="E38" s="22"/>
      <c r="F38" s="9"/>
      <c r="G38" s="22"/>
      <c r="H38" s="9"/>
      <c r="I38" s="22"/>
      <c r="J38" s="9"/>
      <c r="K38" s="22"/>
    </row>
    <row r="39" spans="1:11" ht="12" customHeight="1">
      <c r="A39" s="76"/>
      <c r="B39" s="9">
        <v>17584.490000000002</v>
      </c>
      <c r="C39" s="22">
        <v>-26.363786000000001</v>
      </c>
      <c r="D39" s="9">
        <v>21673.08</v>
      </c>
      <c r="E39" s="22">
        <v>23.251114999999999</v>
      </c>
      <c r="F39" s="9">
        <v>23324.44</v>
      </c>
      <c r="G39" s="22">
        <v>7.6194059999999997</v>
      </c>
      <c r="H39" s="9">
        <v>34647.730000000003</v>
      </c>
      <c r="I39" s="22">
        <v>48.546889</v>
      </c>
      <c r="J39" s="9">
        <v>34265.480000000003</v>
      </c>
      <c r="K39" s="22">
        <v>-1.1032470000000001</v>
      </c>
    </row>
    <row r="40" spans="1:11" ht="12" customHeight="1">
      <c r="A40" s="76" t="s">
        <v>216</v>
      </c>
      <c r="B40" s="9"/>
      <c r="C40" s="22"/>
      <c r="D40" s="9"/>
      <c r="E40" s="22"/>
      <c r="F40" s="9"/>
      <c r="G40" s="22"/>
      <c r="H40" s="9"/>
      <c r="I40" s="22"/>
      <c r="J40" s="9"/>
      <c r="K40" s="22"/>
    </row>
    <row r="41" spans="1:11" ht="12" customHeight="1">
      <c r="A41" s="76"/>
      <c r="B41" s="71"/>
      <c r="C41" s="72"/>
      <c r="D41" s="9">
        <v>32256</v>
      </c>
      <c r="E41" s="22"/>
      <c r="F41" s="9">
        <v>37621.06</v>
      </c>
      <c r="G41" s="22">
        <v>16.632750000000001</v>
      </c>
      <c r="H41" s="9">
        <v>38275.19</v>
      </c>
      <c r="I41" s="22">
        <v>1.738734</v>
      </c>
      <c r="J41" s="9">
        <v>37558.300000000003</v>
      </c>
      <c r="K41" s="22">
        <v>-1.872989</v>
      </c>
    </row>
    <row r="42" spans="1:11" ht="12" customHeight="1">
      <c r="A42" s="76" t="s">
        <v>217</v>
      </c>
      <c r="B42" s="71">
        <v>39124</v>
      </c>
      <c r="C42" s="72">
        <v>7.9</v>
      </c>
      <c r="D42" s="9"/>
      <c r="E42" s="22"/>
      <c r="F42" s="9"/>
      <c r="G42" s="22"/>
      <c r="H42" s="9"/>
      <c r="I42" s="22"/>
      <c r="J42" s="9"/>
      <c r="K42" s="22"/>
    </row>
    <row r="43" spans="1:11" ht="12" customHeight="1">
      <c r="A43" s="76"/>
      <c r="B43" s="9"/>
      <c r="C43" s="22"/>
      <c r="D43" s="9">
        <v>23461.13</v>
      </c>
      <c r="E43" s="22"/>
      <c r="F43" s="9">
        <v>24515.21</v>
      </c>
      <c r="G43" s="22">
        <v>4.4928780000000001</v>
      </c>
      <c r="H43" s="9">
        <v>29829.39</v>
      </c>
      <c r="I43" s="22">
        <v>21.677073</v>
      </c>
      <c r="J43" s="9">
        <v>30713.37</v>
      </c>
      <c r="K43" s="22">
        <v>2.9634529999999999</v>
      </c>
    </row>
    <row r="44" spans="1:11" ht="12" customHeight="1">
      <c r="A44" s="82" t="s">
        <v>218</v>
      </c>
      <c r="B44" s="9"/>
      <c r="C44" s="22"/>
      <c r="D44" s="9"/>
      <c r="E44" s="22"/>
      <c r="F44" s="9"/>
      <c r="G44" s="22"/>
      <c r="H44" s="9"/>
      <c r="I44" s="22"/>
      <c r="J44" s="9"/>
      <c r="K44" s="22"/>
    </row>
    <row r="45" spans="1:11" ht="12" customHeight="1">
      <c r="A45" s="82"/>
      <c r="B45" s="9"/>
      <c r="C45" s="22"/>
      <c r="D45" s="31" t="s">
        <v>219</v>
      </c>
      <c r="E45" s="22" t="s">
        <v>220</v>
      </c>
      <c r="F45" s="31" t="s">
        <v>221</v>
      </c>
      <c r="G45" s="22" t="s">
        <v>222</v>
      </c>
      <c r="H45" s="31" t="s">
        <v>223</v>
      </c>
      <c r="I45" s="22" t="s">
        <v>224</v>
      </c>
      <c r="J45" s="31" t="s">
        <v>225</v>
      </c>
      <c r="K45" s="22" t="s">
        <v>226</v>
      </c>
    </row>
    <row r="46" spans="1:11" ht="12" customHeight="1">
      <c r="A46" s="76" t="s">
        <v>18</v>
      </c>
      <c r="B46" s="9"/>
      <c r="C46" s="22"/>
      <c r="D46" s="9"/>
      <c r="E46" s="22"/>
      <c r="F46" s="9"/>
      <c r="G46" s="22"/>
      <c r="H46" s="9"/>
      <c r="I46" s="22"/>
      <c r="J46" s="9"/>
      <c r="K46" s="22"/>
    </row>
    <row r="47" spans="1:11" ht="12" customHeight="1">
      <c r="A47" s="76"/>
      <c r="B47" s="9">
        <v>10738.23</v>
      </c>
      <c r="C47" s="22">
        <v>6.9512859999999996</v>
      </c>
      <c r="D47" s="9">
        <v>13806.65</v>
      </c>
      <c r="E47" s="22">
        <v>28.574728</v>
      </c>
      <c r="F47" s="9">
        <v>12983.13</v>
      </c>
      <c r="G47" s="22">
        <v>-5.9646619999999997</v>
      </c>
      <c r="H47" s="9">
        <v>11426.68</v>
      </c>
      <c r="I47" s="22">
        <v>-11.988249</v>
      </c>
      <c r="J47" s="9">
        <v>4691.72</v>
      </c>
      <c r="K47" s="22">
        <v>-58.940655</v>
      </c>
    </row>
    <row r="48" spans="1:11" ht="12" customHeight="1">
      <c r="A48" s="76" t="s">
        <v>19</v>
      </c>
      <c r="B48" s="9"/>
      <c r="C48" s="22"/>
      <c r="D48" s="9"/>
      <c r="E48" s="22"/>
      <c r="F48" s="9"/>
      <c r="G48" s="22"/>
      <c r="H48" s="9"/>
      <c r="I48" s="22"/>
      <c r="J48" s="9"/>
      <c r="K48" s="22"/>
    </row>
    <row r="49" spans="1:11" ht="12" customHeight="1">
      <c r="A49" s="76"/>
      <c r="B49" s="9">
        <v>51629.82</v>
      </c>
      <c r="C49" s="22">
        <v>41.485363</v>
      </c>
      <c r="D49" s="9">
        <v>49844.160000000003</v>
      </c>
      <c r="E49" s="22">
        <v>-3.458583</v>
      </c>
      <c r="F49" s="9">
        <v>70381.759999999995</v>
      </c>
      <c r="G49" s="22">
        <v>41.203623</v>
      </c>
      <c r="H49" s="9">
        <v>58992.73</v>
      </c>
      <c r="I49" s="22">
        <v>-16.181792000000002</v>
      </c>
      <c r="J49" s="9">
        <v>60205.63</v>
      </c>
      <c r="K49" s="22">
        <v>2.0560160000000001</v>
      </c>
    </row>
    <row r="50" spans="1:11" ht="12" customHeight="1" thickBot="1">
      <c r="A50" s="8"/>
      <c r="B50" s="9"/>
      <c r="C50" s="22"/>
      <c r="D50" s="9"/>
      <c r="E50" s="22"/>
      <c r="F50" s="9"/>
      <c r="G50" s="22"/>
      <c r="H50" s="9"/>
      <c r="I50" s="22"/>
      <c r="J50" s="9"/>
      <c r="K50" s="22"/>
    </row>
    <row r="51" spans="1:11" ht="12" customHeight="1">
      <c r="A51" s="75" t="s">
        <v>20</v>
      </c>
      <c r="B51" s="12"/>
      <c r="C51" s="21"/>
      <c r="D51" s="12"/>
      <c r="E51" s="21"/>
      <c r="F51" s="12"/>
      <c r="G51" s="21"/>
      <c r="H51" s="12"/>
      <c r="I51" s="21"/>
      <c r="J51" s="12"/>
      <c r="K51" s="21"/>
    </row>
    <row r="52" spans="1:11" ht="12" customHeight="1">
      <c r="A52" s="76"/>
      <c r="B52" s="9"/>
      <c r="C52" s="22"/>
      <c r="D52" s="9"/>
      <c r="E52" s="22"/>
      <c r="F52" s="9"/>
      <c r="G52" s="22"/>
      <c r="H52" s="9"/>
      <c r="I52" s="22"/>
      <c r="J52" s="9"/>
      <c r="K52" s="22"/>
    </row>
    <row r="53" spans="1:11" ht="12" customHeight="1">
      <c r="A53" s="76" t="s">
        <v>21</v>
      </c>
      <c r="B53" s="9"/>
      <c r="C53" s="22"/>
      <c r="D53" s="9"/>
      <c r="E53" s="22"/>
      <c r="F53" s="9"/>
      <c r="G53" s="22"/>
      <c r="H53" s="9"/>
      <c r="I53" s="22"/>
      <c r="J53" s="9"/>
      <c r="K53" s="22"/>
    </row>
    <row r="54" spans="1:11" ht="12" customHeight="1">
      <c r="A54" s="76"/>
      <c r="B54" s="9">
        <v>209918.58</v>
      </c>
      <c r="C54" s="22">
        <v>14.409248</v>
      </c>
      <c r="D54" s="9">
        <v>257853.33</v>
      </c>
      <c r="E54" s="22">
        <v>22.8</v>
      </c>
      <c r="F54" s="9">
        <v>294325.81</v>
      </c>
      <c r="G54" s="22">
        <v>14.144660999999999</v>
      </c>
      <c r="H54" s="9">
        <v>328341.53999999998</v>
      </c>
      <c r="I54" s="22">
        <v>11.557169</v>
      </c>
      <c r="J54" s="9">
        <v>322789.73</v>
      </c>
      <c r="K54" s="22">
        <v>-1.6908639999999999</v>
      </c>
    </row>
    <row r="55" spans="1:11" ht="12" customHeight="1">
      <c r="A55" s="76" t="s">
        <v>27</v>
      </c>
      <c r="B55" s="9"/>
      <c r="C55" s="22"/>
      <c r="D55" s="9"/>
      <c r="E55" s="22"/>
      <c r="F55" s="9"/>
      <c r="G55" s="22"/>
      <c r="H55" s="9"/>
      <c r="I55" s="22"/>
      <c r="J55" s="9"/>
      <c r="K55" s="22"/>
    </row>
    <row r="56" spans="1:11" ht="12" customHeight="1">
      <c r="A56" s="76"/>
      <c r="B56" s="9">
        <v>55818.83</v>
      </c>
      <c r="C56" s="22">
        <v>19.749285</v>
      </c>
      <c r="D56" s="9">
        <v>67011.100000000006</v>
      </c>
      <c r="E56" s="22">
        <v>20.100000000000001</v>
      </c>
      <c r="F56" s="9">
        <v>68475.259999999995</v>
      </c>
      <c r="G56" s="22">
        <v>2.1849509999999999</v>
      </c>
      <c r="H56" s="9">
        <v>81293.289999999994</v>
      </c>
      <c r="I56" s="22">
        <v>18.719213</v>
      </c>
      <c r="J56" s="9">
        <v>73845.259999999995</v>
      </c>
      <c r="K56" s="22">
        <v>-9.1619250000000001</v>
      </c>
    </row>
    <row r="57" spans="1:11" ht="12" customHeight="1">
      <c r="A57" s="76" t="s">
        <v>23</v>
      </c>
      <c r="B57" s="9"/>
      <c r="C57" s="22"/>
      <c r="D57" s="9"/>
      <c r="E57" s="22"/>
      <c r="F57" s="9"/>
      <c r="G57" s="22"/>
      <c r="H57" s="9"/>
      <c r="I57" s="22"/>
      <c r="J57" s="9"/>
      <c r="K57" s="22"/>
    </row>
    <row r="58" spans="1:11" ht="12" customHeight="1">
      <c r="A58" s="76"/>
      <c r="B58" s="9">
        <v>87514.94</v>
      </c>
      <c r="C58" s="22">
        <v>4.5499669999999997</v>
      </c>
      <c r="D58" s="9">
        <v>111945.15</v>
      </c>
      <c r="E58" s="22">
        <v>27.915474</v>
      </c>
      <c r="F58" s="9">
        <v>144666.71</v>
      </c>
      <c r="G58" s="22">
        <v>29.229993</v>
      </c>
      <c r="H58" s="9">
        <v>127142.42</v>
      </c>
      <c r="I58" s="22">
        <v>-12.113561000000001</v>
      </c>
      <c r="J58" s="9">
        <v>126487.53</v>
      </c>
      <c r="K58" s="22">
        <v>-0.51508399999999999</v>
      </c>
    </row>
    <row r="59" spans="1:11" ht="12" customHeight="1">
      <c r="A59" s="76" t="s">
        <v>24</v>
      </c>
      <c r="B59" s="9"/>
      <c r="C59" s="22"/>
      <c r="D59" s="9"/>
      <c r="E59" s="22"/>
      <c r="F59" s="9"/>
      <c r="G59" s="22"/>
      <c r="H59" s="9"/>
      <c r="I59" s="22"/>
      <c r="J59" s="9"/>
      <c r="K59" s="22"/>
    </row>
    <row r="60" spans="1:11" ht="12" customHeight="1" thickBot="1">
      <c r="A60" s="80"/>
      <c r="B60" s="13">
        <v>8736.31</v>
      </c>
      <c r="C60" s="23" t="s">
        <v>28</v>
      </c>
      <c r="D60" s="13">
        <v>10225.030000000001</v>
      </c>
      <c r="E60" s="23">
        <v>17.040603999999998</v>
      </c>
      <c r="F60" s="13">
        <v>9458.57</v>
      </c>
      <c r="G60" s="23">
        <v>-7.4959189999999998</v>
      </c>
      <c r="H60" s="13">
        <v>7008.62</v>
      </c>
      <c r="I60" s="23">
        <v>-25.901907000000001</v>
      </c>
      <c r="J60" s="13">
        <v>11770.28</v>
      </c>
      <c r="K60" s="23">
        <v>67.940050999999997</v>
      </c>
    </row>
    <row r="61" spans="1:11" ht="7.5" customHeight="1"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24" t="s">
        <v>29</v>
      </c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 t="s">
        <v>30</v>
      </c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/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33">
    <mergeCell ref="A36:A37"/>
    <mergeCell ref="A57:A58"/>
    <mergeCell ref="A59:A60"/>
    <mergeCell ref="A48:A49"/>
    <mergeCell ref="A51:A52"/>
    <mergeCell ref="A53:A54"/>
    <mergeCell ref="A55:A56"/>
    <mergeCell ref="A38:A39"/>
    <mergeCell ref="A40:A41"/>
    <mergeCell ref="A22:A23"/>
    <mergeCell ref="A24:A25"/>
    <mergeCell ref="A42:A43"/>
    <mergeCell ref="A46:A47"/>
    <mergeCell ref="A44:A45"/>
    <mergeCell ref="A28:A29"/>
    <mergeCell ref="A30:A31"/>
    <mergeCell ref="A32:A33"/>
    <mergeCell ref="A34:A35"/>
    <mergeCell ref="A26:A27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713F-D7FE-46BA-8FDF-A2B3CCD21226}">
  <dimension ref="A1:K95"/>
  <sheetViews>
    <sheetView zoomScaleNormal="100" workbookViewId="0"/>
  </sheetViews>
  <sheetFormatPr defaultColWidth="9" defaultRowHeight="11"/>
  <cols>
    <col min="1" max="1" width="23.6328125" style="2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A1" s="25" t="s">
        <v>31</v>
      </c>
      <c r="D1" s="1" t="s">
        <v>32</v>
      </c>
    </row>
    <row r="3" spans="1:11" ht="11.5" thickBot="1">
      <c r="K3" s="3" t="s">
        <v>2</v>
      </c>
    </row>
    <row r="4" spans="1:11" ht="12" customHeight="1" thickBot="1">
      <c r="A4" s="77" t="s">
        <v>3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78"/>
      <c r="B5" s="4"/>
      <c r="C5" s="5" t="s">
        <v>4</v>
      </c>
      <c r="D5" s="4"/>
      <c r="E5" s="5" t="s">
        <v>4</v>
      </c>
      <c r="F5" s="4"/>
      <c r="G5" s="5" t="s">
        <v>4</v>
      </c>
      <c r="H5" s="4"/>
      <c r="I5" s="5" t="s">
        <v>4</v>
      </c>
      <c r="J5" s="4"/>
      <c r="K5" s="5" t="s">
        <v>4</v>
      </c>
    </row>
    <row r="6" spans="1:11" ht="12" customHeight="1">
      <c r="A6" s="75" t="s">
        <v>5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76"/>
      <c r="B7" s="9">
        <v>367201.67</v>
      </c>
      <c r="C7" s="10">
        <v>14.599119</v>
      </c>
      <c r="D7" s="9">
        <v>435750.55</v>
      </c>
      <c r="E7" s="10">
        <v>18.667911</v>
      </c>
      <c r="F7" s="9">
        <v>477034.4</v>
      </c>
      <c r="G7" s="10">
        <v>9.4741929999999996</v>
      </c>
      <c r="H7" s="9">
        <v>492854.55</v>
      </c>
      <c r="I7" s="10">
        <v>3.316354</v>
      </c>
      <c r="J7" s="9">
        <v>494522.69</v>
      </c>
      <c r="K7" s="10">
        <v>0.33846500000000002</v>
      </c>
    </row>
    <row r="8" spans="1:11" ht="12" customHeight="1">
      <c r="A8" s="76" t="s">
        <v>6</v>
      </c>
      <c r="B8" s="9"/>
      <c r="C8" s="10"/>
      <c r="D8" s="9"/>
      <c r="E8" s="10"/>
      <c r="F8" s="9"/>
      <c r="G8" s="10"/>
      <c r="H8" s="9"/>
      <c r="I8" s="10"/>
      <c r="J8" s="9"/>
      <c r="K8" s="10"/>
    </row>
    <row r="9" spans="1:11" ht="12" customHeight="1">
      <c r="A9" s="76"/>
      <c r="B9" s="9">
        <v>149405.01999999999</v>
      </c>
      <c r="C9" s="10">
        <v>22.505827</v>
      </c>
      <c r="D9" s="9">
        <v>184419.78</v>
      </c>
      <c r="E9" s="10">
        <v>23.436133999999999</v>
      </c>
      <c r="F9" s="9">
        <v>194886.63</v>
      </c>
      <c r="G9" s="10">
        <v>5.6755570000000004</v>
      </c>
      <c r="H9" s="9">
        <v>210234.09</v>
      </c>
      <c r="I9" s="10">
        <v>7.8750710000000002</v>
      </c>
      <c r="J9" s="9">
        <v>213642.31</v>
      </c>
      <c r="K9" s="10">
        <v>1.6211549999999999</v>
      </c>
    </row>
    <row r="10" spans="1:11" ht="12" customHeight="1">
      <c r="A10" s="76" t="s">
        <v>14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 thickBot="1">
      <c r="A11" s="80"/>
      <c r="B11" s="13">
        <v>217796.65</v>
      </c>
      <c r="C11" s="14">
        <v>9.7404240000000009</v>
      </c>
      <c r="D11" s="13">
        <v>251330.77</v>
      </c>
      <c r="E11" s="14">
        <v>15.396986</v>
      </c>
      <c r="F11" s="13">
        <v>282147.77</v>
      </c>
      <c r="G11" s="14">
        <v>12.261531</v>
      </c>
      <c r="H11" s="13">
        <v>282620.46000000002</v>
      </c>
      <c r="I11" s="14">
        <v>0.16753299999999999</v>
      </c>
      <c r="J11" s="13">
        <v>280880.38</v>
      </c>
      <c r="K11" s="14">
        <v>-0.61569499999999999</v>
      </c>
    </row>
    <row r="12" spans="1:11" ht="7.5" customHeight="1">
      <c r="A12" s="15"/>
      <c r="B12" s="16"/>
      <c r="C12" s="17"/>
      <c r="D12" s="16"/>
      <c r="E12" s="17"/>
      <c r="F12" s="16"/>
      <c r="G12" s="17"/>
      <c r="H12" s="16"/>
      <c r="I12" s="17"/>
      <c r="J12" s="16"/>
      <c r="K12" s="17"/>
    </row>
    <row r="13" spans="1:11" ht="11.9" customHeight="1">
      <c r="A13" s="15" t="s">
        <v>25</v>
      </c>
      <c r="B13" s="16"/>
      <c r="C13" s="17"/>
      <c r="D13" s="16"/>
      <c r="E13" s="17"/>
      <c r="F13" s="16"/>
      <c r="G13" s="17"/>
      <c r="H13" s="16"/>
      <c r="I13" s="17"/>
      <c r="J13" s="16"/>
      <c r="K13" s="17"/>
    </row>
    <row r="14" spans="1:11" ht="11.9" customHeight="1">
      <c r="A14" s="15"/>
      <c r="B14" s="16"/>
      <c r="C14" s="17"/>
      <c r="D14" s="16"/>
      <c r="E14" s="17"/>
      <c r="F14" s="16"/>
      <c r="G14" s="17"/>
      <c r="H14" s="16"/>
      <c r="I14" s="17"/>
      <c r="J14" s="16"/>
      <c r="K14" s="17"/>
    </row>
    <row r="15" spans="1:11" ht="11.9" customHeight="1">
      <c r="A15" s="18"/>
      <c r="B15" s="16"/>
      <c r="C15" s="17"/>
      <c r="D15" s="16"/>
      <c r="E15" s="17"/>
      <c r="F15" s="16"/>
      <c r="G15" s="17"/>
      <c r="H15" s="16"/>
      <c r="I15" s="17"/>
      <c r="J15" s="16"/>
      <c r="K15" s="17"/>
    </row>
    <row r="16" spans="1:11" ht="11.9" customHeight="1">
      <c r="A16" s="15"/>
      <c r="B16" s="16"/>
      <c r="C16" s="17"/>
      <c r="D16" s="16"/>
      <c r="E16" s="17"/>
      <c r="F16" s="16"/>
      <c r="G16" s="17"/>
      <c r="H16" s="16"/>
      <c r="I16" s="17"/>
      <c r="J16" s="16"/>
      <c r="K16" s="17"/>
    </row>
    <row r="17" spans="1:11" ht="11.9" customHeight="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</row>
    <row r="18" spans="1:11" ht="11.9" customHeight="1">
      <c r="A18" s="15"/>
      <c r="B18" s="16"/>
      <c r="C18" s="17"/>
      <c r="D18" s="16"/>
      <c r="E18" s="17"/>
      <c r="F18" s="16"/>
      <c r="G18" s="17"/>
      <c r="H18" s="16"/>
      <c r="I18" s="17"/>
      <c r="J18" s="16"/>
      <c r="K18" s="17"/>
    </row>
    <row r="19" spans="1:11" ht="11.9" customHeight="1">
      <c r="A19" s="15"/>
      <c r="B19" s="16"/>
      <c r="C19" s="17"/>
      <c r="D19" s="16"/>
      <c r="E19" s="17"/>
      <c r="F19" s="16"/>
      <c r="G19" s="17"/>
      <c r="H19" s="16"/>
      <c r="I19" s="17"/>
      <c r="J19" s="16"/>
      <c r="K19" s="17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15"/>
      <c r="B21" s="16"/>
      <c r="C21" s="17"/>
      <c r="D21" s="16"/>
      <c r="E21" s="17"/>
      <c r="F21" s="16"/>
      <c r="G21" s="17"/>
      <c r="H21" s="16"/>
      <c r="I21" s="17"/>
      <c r="J21" s="16"/>
      <c r="K21" s="17"/>
    </row>
    <row r="22" spans="1:11" ht="11.9" customHeight="1">
      <c r="A22" s="15"/>
      <c r="B22" s="16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9">
    <mergeCell ref="A10:A1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DFDC-6E75-449B-9F65-CF2B6B14BE6F}">
  <dimension ref="A1:K144"/>
  <sheetViews>
    <sheetView zoomScaleNormal="100" workbookViewId="0"/>
  </sheetViews>
  <sheetFormatPr defaultColWidth="9" defaultRowHeight="11"/>
  <cols>
    <col min="1" max="1" width="34.6328125" style="2" bestFit="1" customWidth="1"/>
    <col min="2" max="11" width="10.6328125" style="2" customWidth="1"/>
    <col min="12" max="16384" width="9" style="2"/>
  </cols>
  <sheetData>
    <row r="1" spans="1:11" ht="19">
      <c r="B1" s="1" t="s">
        <v>33</v>
      </c>
    </row>
    <row r="3" spans="1:11" ht="11.5" thickBot="1">
      <c r="K3" s="3" t="s">
        <v>34</v>
      </c>
    </row>
    <row r="4" spans="1:11" ht="12" customHeight="1" thickBot="1">
      <c r="A4" s="77" t="s">
        <v>3</v>
      </c>
      <c r="B4" s="85" t="s">
        <v>35</v>
      </c>
      <c r="C4" s="85"/>
      <c r="D4" s="85"/>
      <c r="E4" s="85"/>
      <c r="F4" s="85"/>
      <c r="G4" s="85" t="s">
        <v>36</v>
      </c>
      <c r="H4" s="85"/>
      <c r="I4" s="85"/>
      <c r="J4" s="85"/>
      <c r="K4" s="85"/>
    </row>
    <row r="5" spans="1:11" ht="12" customHeight="1" thickBot="1">
      <c r="A5" s="78"/>
      <c r="B5" s="26">
        <v>2003</v>
      </c>
      <c r="C5" s="26">
        <v>2004</v>
      </c>
      <c r="D5" s="26">
        <v>2005</v>
      </c>
      <c r="E5" s="26">
        <v>2006</v>
      </c>
      <c r="F5" s="26">
        <v>2007</v>
      </c>
      <c r="G5" s="26">
        <v>2003</v>
      </c>
      <c r="H5" s="26">
        <v>2004</v>
      </c>
      <c r="I5" s="26">
        <v>2005</v>
      </c>
      <c r="J5" s="26">
        <v>2006</v>
      </c>
      <c r="K5" s="26">
        <v>2007</v>
      </c>
    </row>
    <row r="6" spans="1:11" ht="12" customHeight="1">
      <c r="A6" s="75" t="s">
        <v>5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2" customHeight="1">
      <c r="A7" s="76"/>
      <c r="B7" s="10">
        <v>2.7512470000000002</v>
      </c>
      <c r="C7" s="10">
        <v>3.0678969999999999</v>
      </c>
      <c r="D7" s="10">
        <v>3.1631049999999998</v>
      </c>
      <c r="E7" s="10">
        <v>3.14635</v>
      </c>
      <c r="F7" s="10">
        <v>3.1295510000000002</v>
      </c>
      <c r="G7" s="10">
        <v>2.712189</v>
      </c>
      <c r="H7" s="10">
        <v>3.1473420000000001</v>
      </c>
      <c r="I7" s="10">
        <v>3.427619</v>
      </c>
      <c r="J7" s="10">
        <v>3.471492</v>
      </c>
      <c r="K7" s="10">
        <v>3.38503</v>
      </c>
    </row>
    <row r="8" spans="1:11" ht="12" customHeight="1">
      <c r="A8" s="76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12" customHeight="1">
      <c r="A9" s="76"/>
      <c r="B9" s="10">
        <v>3.8811550000000001</v>
      </c>
      <c r="C9" s="10">
        <v>4.5014630000000002</v>
      </c>
      <c r="D9" s="10">
        <v>4.4802049999999998</v>
      </c>
      <c r="E9" s="10">
        <v>4.6683849999999998</v>
      </c>
      <c r="F9" s="10">
        <v>4.5291110000000003</v>
      </c>
      <c r="G9" s="10">
        <v>3.919035</v>
      </c>
      <c r="H9" s="10">
        <v>4.7529890000000004</v>
      </c>
      <c r="I9" s="10">
        <v>5.0079190000000002</v>
      </c>
      <c r="J9" s="10">
        <v>5.2864149999999999</v>
      </c>
      <c r="K9" s="10">
        <v>5.0646279999999999</v>
      </c>
    </row>
    <row r="10" spans="1:11" ht="12" customHeight="1">
      <c r="A10" s="76" t="s">
        <v>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2" customHeight="1">
      <c r="A11" s="76"/>
      <c r="B11" s="10">
        <v>3.2846959999999998</v>
      </c>
      <c r="C11" s="10">
        <v>3.1519590000000002</v>
      </c>
      <c r="D11" s="10">
        <v>2.8067959999999998</v>
      </c>
      <c r="E11" s="10">
        <v>2.3595220000000001</v>
      </c>
      <c r="F11" s="10">
        <v>2.6911010000000002</v>
      </c>
      <c r="G11" s="10">
        <v>3.1922799999999998</v>
      </c>
      <c r="H11" s="10">
        <v>3.3820420000000002</v>
      </c>
      <c r="I11" s="10">
        <v>3.0596739999999998</v>
      </c>
      <c r="J11" s="10">
        <v>2.7829679999999999</v>
      </c>
      <c r="K11" s="10">
        <v>2.761879</v>
      </c>
    </row>
    <row r="12" spans="1:11" ht="12" customHeight="1">
      <c r="A12" s="76" t="s">
        <v>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2" customHeight="1">
      <c r="A13" s="76"/>
      <c r="B13" s="10">
        <v>7.4756609999999997</v>
      </c>
      <c r="C13" s="10">
        <v>9.3268529999999998</v>
      </c>
      <c r="D13" s="10">
        <v>7.8474700000000004</v>
      </c>
      <c r="E13" s="10">
        <v>8.5039599999999993</v>
      </c>
      <c r="F13" s="10">
        <v>8.0350599999999996</v>
      </c>
      <c r="G13" s="10">
        <v>7.4976289999999999</v>
      </c>
      <c r="H13" s="10">
        <v>9.8205810000000007</v>
      </c>
      <c r="I13" s="10">
        <v>8.6164269999999998</v>
      </c>
      <c r="J13" s="10">
        <v>9.351756</v>
      </c>
      <c r="K13" s="10">
        <v>8.5949340000000003</v>
      </c>
    </row>
    <row r="14" spans="1:11" s="11" customFormat="1" ht="12" customHeight="1">
      <c r="A14" s="79" t="s">
        <v>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s="11" customFormat="1" ht="12" customHeight="1">
      <c r="A15" s="79"/>
      <c r="B15" s="10">
        <v>1.326379</v>
      </c>
      <c r="C15" s="10">
        <v>2.9432179999999999</v>
      </c>
      <c r="D15" s="10">
        <v>2.5227810000000002</v>
      </c>
      <c r="E15" s="10">
        <v>1.920401</v>
      </c>
      <c r="F15" s="10">
        <v>1.1663159999999999</v>
      </c>
      <c r="G15" s="10">
        <v>1.1877960000000001</v>
      </c>
      <c r="H15" s="10">
        <v>2.8147799999999998</v>
      </c>
      <c r="I15" s="10">
        <v>2.5222730000000002</v>
      </c>
      <c r="J15" s="10">
        <v>2.263957</v>
      </c>
      <c r="K15" s="10">
        <v>1.386811</v>
      </c>
    </row>
    <row r="16" spans="1:11" s="11" customFormat="1" ht="12" customHeight="1">
      <c r="A16" s="79" t="s">
        <v>10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s="11" customFormat="1" ht="12" customHeight="1">
      <c r="A17" s="79"/>
      <c r="B17" s="10">
        <v>5.9017419999999996</v>
      </c>
      <c r="C17" s="10">
        <v>10.223633</v>
      </c>
      <c r="D17" s="10">
        <v>11.065799999999999</v>
      </c>
      <c r="E17" s="10">
        <v>9.8739729999999994</v>
      </c>
      <c r="F17" s="10">
        <v>8.6439020000000006</v>
      </c>
      <c r="G17" s="10">
        <v>4.8953350000000002</v>
      </c>
      <c r="H17" s="10">
        <v>9.5904729999999994</v>
      </c>
      <c r="I17" s="10">
        <v>10.569430000000001</v>
      </c>
      <c r="J17" s="10">
        <v>10.006463999999999</v>
      </c>
      <c r="K17" s="10">
        <v>8.5515229999999995</v>
      </c>
    </row>
    <row r="18" spans="1:11" ht="12" customHeight="1">
      <c r="A18" s="76" t="s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2" customHeight="1">
      <c r="A19" s="76"/>
      <c r="B19" s="10">
        <v>3.3770380000000002</v>
      </c>
      <c r="C19" s="10">
        <v>3.901221</v>
      </c>
      <c r="D19" s="10">
        <v>3.6838350000000002</v>
      </c>
      <c r="E19" s="10">
        <v>3.3311839999999999</v>
      </c>
      <c r="F19" s="10">
        <v>3.689775</v>
      </c>
      <c r="G19" s="10">
        <v>3.508975</v>
      </c>
      <c r="H19" s="10">
        <v>4.0094029999999998</v>
      </c>
      <c r="I19" s="10">
        <v>3.704297</v>
      </c>
      <c r="J19" s="10">
        <v>3.7517529999999999</v>
      </c>
      <c r="K19" s="10">
        <v>3.9718659999999999</v>
      </c>
    </row>
    <row r="20" spans="1:11" ht="12" customHeight="1">
      <c r="A20" s="76" t="s">
        <v>12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2" customHeight="1">
      <c r="A21" s="76"/>
      <c r="B21" s="10">
        <v>3.7451270000000001</v>
      </c>
      <c r="C21" s="10">
        <v>4.6549500000000004</v>
      </c>
      <c r="D21" s="10">
        <v>5.201956</v>
      </c>
      <c r="E21" s="10">
        <v>5.9455429999999998</v>
      </c>
      <c r="F21" s="10">
        <v>6.0561680000000004</v>
      </c>
      <c r="G21" s="10">
        <v>3.559761</v>
      </c>
      <c r="H21" s="10">
        <v>4.9290820000000002</v>
      </c>
      <c r="I21" s="10">
        <v>5.5241429999999996</v>
      </c>
      <c r="J21" s="10">
        <v>6.803096</v>
      </c>
      <c r="K21" s="10">
        <v>6.5550670000000002</v>
      </c>
    </row>
    <row r="22" spans="1:11" ht="12" customHeight="1">
      <c r="A22" s="76" t="s">
        <v>167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2" customHeight="1">
      <c r="A23" s="76"/>
      <c r="B23" s="72"/>
      <c r="C23" s="10">
        <v>2.7715779999999999</v>
      </c>
      <c r="D23" s="10">
        <v>3.0230739999999998</v>
      </c>
      <c r="E23" s="10">
        <v>3.8851659999999999</v>
      </c>
      <c r="F23" s="10">
        <v>3.4338899999999999</v>
      </c>
      <c r="G23" s="72"/>
      <c r="H23" s="10">
        <v>3.4334169999999999</v>
      </c>
      <c r="I23" s="10">
        <v>3.8775050000000002</v>
      </c>
      <c r="J23" s="10">
        <v>4.2063430000000004</v>
      </c>
      <c r="K23" s="10">
        <v>4.3040289999999999</v>
      </c>
    </row>
    <row r="24" spans="1:11" ht="12" customHeight="1">
      <c r="A24" s="76" t="s">
        <v>168</v>
      </c>
      <c r="B24" s="72">
        <v>2.8</v>
      </c>
      <c r="C24" s="10"/>
      <c r="D24" s="10"/>
      <c r="E24" s="10"/>
      <c r="F24" s="10"/>
      <c r="G24" s="72">
        <v>3.1</v>
      </c>
      <c r="H24" s="10"/>
      <c r="I24" s="10"/>
      <c r="J24" s="10"/>
      <c r="K24" s="10"/>
    </row>
    <row r="25" spans="1:11" ht="12" customHeight="1">
      <c r="A25" s="76"/>
      <c r="B25" s="10"/>
      <c r="C25" s="10">
        <v>3.7372960000000002</v>
      </c>
      <c r="D25" s="10">
        <v>2.7755890000000001</v>
      </c>
      <c r="E25" s="10">
        <v>3.1788050000000001</v>
      </c>
      <c r="F25" s="10">
        <v>2.9853040000000002</v>
      </c>
      <c r="G25" s="10"/>
      <c r="H25" s="10">
        <v>3.938717</v>
      </c>
      <c r="I25" s="10">
        <v>2.7919809999999998</v>
      </c>
      <c r="J25" s="10">
        <v>3.7192150000000002</v>
      </c>
      <c r="K25" s="10">
        <v>3.3010100000000002</v>
      </c>
    </row>
    <row r="26" spans="1:11" ht="12" customHeight="1">
      <c r="A26" s="82" t="s">
        <v>199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2" customHeight="1">
      <c r="A27" s="82"/>
      <c r="B27" s="10"/>
      <c r="C27" s="22" t="s">
        <v>228</v>
      </c>
      <c r="D27" s="22" t="s">
        <v>229</v>
      </c>
      <c r="E27" s="22" t="s">
        <v>230</v>
      </c>
      <c r="F27" s="22" t="s">
        <v>228</v>
      </c>
      <c r="G27" s="22"/>
      <c r="H27" s="22" t="s">
        <v>230</v>
      </c>
      <c r="I27" s="22" t="s">
        <v>231</v>
      </c>
      <c r="J27" s="22" t="s">
        <v>232</v>
      </c>
      <c r="K27" s="22" t="s">
        <v>233</v>
      </c>
    </row>
    <row r="28" spans="1:11" ht="12" customHeight="1">
      <c r="A28" s="76" t="s">
        <v>13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2" customHeight="1">
      <c r="A29" s="76"/>
      <c r="B29" s="10">
        <v>4.5</v>
      </c>
      <c r="C29" s="10">
        <v>4.2005350000000004</v>
      </c>
      <c r="D29" s="10">
        <v>4.7944120000000003</v>
      </c>
      <c r="E29" s="10">
        <v>4.5138749999999996</v>
      </c>
      <c r="F29" s="10">
        <v>4.4617110000000002</v>
      </c>
      <c r="G29" s="10">
        <v>4.8</v>
      </c>
      <c r="H29" s="10">
        <v>4.630922</v>
      </c>
      <c r="I29" s="10">
        <v>5.817437</v>
      </c>
      <c r="J29" s="10">
        <v>5.5225499999999998</v>
      </c>
      <c r="K29" s="10">
        <v>5.84511</v>
      </c>
    </row>
    <row r="30" spans="1:11" ht="12" customHeight="1">
      <c r="A30" s="76" t="s">
        <v>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2" customHeight="1">
      <c r="A31" s="76"/>
      <c r="B31" s="10">
        <v>2.2932630000000001</v>
      </c>
      <c r="C31" s="10">
        <v>2.48678</v>
      </c>
      <c r="D31" s="10">
        <v>2.6292140000000002</v>
      </c>
      <c r="E31" s="10">
        <v>2.5322209999999998</v>
      </c>
      <c r="F31" s="10">
        <v>2.5339640000000001</v>
      </c>
      <c r="G31" s="10">
        <v>2.22302</v>
      </c>
      <c r="H31" s="10">
        <v>2.49647</v>
      </c>
      <c r="I31" s="10">
        <v>2.7870400000000002</v>
      </c>
      <c r="J31" s="10">
        <v>2.739185</v>
      </c>
      <c r="K31" s="10">
        <v>2.6702729999999999</v>
      </c>
    </row>
    <row r="32" spans="1:11" ht="12" customHeight="1">
      <c r="A32" s="76" t="s">
        <v>15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2" customHeight="1">
      <c r="A33" s="76"/>
      <c r="B33" s="10">
        <v>1.433754</v>
      </c>
      <c r="C33" s="10">
        <v>1.7051970000000001</v>
      </c>
      <c r="D33" s="10">
        <v>1.5486139999999999</v>
      </c>
      <c r="E33" s="10">
        <v>1.743377</v>
      </c>
      <c r="F33" s="10">
        <v>1.5948599999999999</v>
      </c>
      <c r="G33" s="10">
        <v>1.5600259999999999</v>
      </c>
      <c r="H33" s="10">
        <v>1.842427</v>
      </c>
      <c r="I33" s="10">
        <v>1.6554850000000001</v>
      </c>
      <c r="J33" s="10">
        <v>1.8475090000000001</v>
      </c>
      <c r="K33" s="10">
        <v>1.7097979999999999</v>
      </c>
    </row>
    <row r="34" spans="1:11" ht="12" customHeight="1">
      <c r="A34" s="76" t="s">
        <v>16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2" customHeight="1">
      <c r="A35" s="76"/>
      <c r="B35" s="10">
        <v>1.168301</v>
      </c>
      <c r="C35" s="10">
        <v>1.2338039999999999</v>
      </c>
      <c r="D35" s="10">
        <v>1.4064859999999999</v>
      </c>
      <c r="E35" s="10">
        <v>1.156555</v>
      </c>
      <c r="F35" s="10">
        <v>1.19756</v>
      </c>
      <c r="G35" s="10">
        <v>1.3335889999999999</v>
      </c>
      <c r="H35" s="10">
        <v>1.4620770000000001</v>
      </c>
      <c r="I35" s="10">
        <v>1.7458370000000001</v>
      </c>
      <c r="J35" s="10">
        <v>1.5577460000000001</v>
      </c>
      <c r="K35" s="10">
        <v>1.495698</v>
      </c>
    </row>
    <row r="36" spans="1:11" ht="12" customHeight="1">
      <c r="A36" s="82" t="s">
        <v>177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2" customHeight="1">
      <c r="A37" s="82"/>
      <c r="B37" s="10"/>
      <c r="C37" s="22" t="s">
        <v>234</v>
      </c>
      <c r="D37" s="22" t="s">
        <v>235</v>
      </c>
      <c r="E37" s="22" t="s">
        <v>236</v>
      </c>
      <c r="F37" s="22" t="s">
        <v>234</v>
      </c>
      <c r="G37" s="22"/>
      <c r="H37" s="22" t="s">
        <v>235</v>
      </c>
      <c r="I37" s="22" t="s">
        <v>237</v>
      </c>
      <c r="J37" s="22" t="s">
        <v>238</v>
      </c>
      <c r="K37" s="22" t="s">
        <v>238</v>
      </c>
    </row>
    <row r="38" spans="1:11" ht="12" customHeight="1">
      <c r="A38" s="76" t="s">
        <v>17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2" customHeight="1">
      <c r="A39" s="76"/>
      <c r="B39" s="10">
        <v>7.4969640000000002</v>
      </c>
      <c r="C39" s="10">
        <v>8.0956960000000002</v>
      </c>
      <c r="D39" s="10">
        <v>9.1008139999999997</v>
      </c>
      <c r="E39" s="10">
        <v>11.045491</v>
      </c>
      <c r="F39" s="10">
        <v>11.017495</v>
      </c>
      <c r="G39" s="10">
        <v>5.2290780000000003</v>
      </c>
      <c r="H39" s="10">
        <v>6.518084</v>
      </c>
      <c r="I39" s="10">
        <v>6.7607720000000002</v>
      </c>
      <c r="J39" s="10">
        <v>10.233052000000001</v>
      </c>
      <c r="K39" s="10">
        <v>9.237311</v>
      </c>
    </row>
    <row r="40" spans="1:11" ht="12" customHeight="1">
      <c r="A40" s="76" t="s">
        <v>227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2" customHeight="1">
      <c r="A41" s="76"/>
      <c r="B41" s="72"/>
      <c r="C41" s="10">
        <v>6.0722519999999998</v>
      </c>
      <c r="D41" s="10">
        <v>6.4272520000000002</v>
      </c>
      <c r="E41" s="10">
        <v>5.8967049999999999</v>
      </c>
      <c r="F41" s="10">
        <v>6.1934300000000002</v>
      </c>
      <c r="G41" s="72"/>
      <c r="H41" s="10">
        <v>6.1140869999999996</v>
      </c>
      <c r="I41" s="10">
        <v>6.7306109999999997</v>
      </c>
      <c r="J41" s="10">
        <v>6.4888070000000004</v>
      </c>
      <c r="K41" s="10">
        <v>6.7264540000000004</v>
      </c>
    </row>
    <row r="42" spans="1:11" ht="12" customHeight="1">
      <c r="A42" s="76" t="s">
        <v>217</v>
      </c>
      <c r="B42" s="72">
        <v>5.0999999999999996</v>
      </c>
      <c r="C42" s="28"/>
      <c r="D42" s="28"/>
      <c r="E42" s="28"/>
      <c r="F42" s="28"/>
      <c r="G42" s="72">
        <v>4.7</v>
      </c>
      <c r="H42" s="28"/>
      <c r="I42" s="28"/>
      <c r="J42" s="28"/>
      <c r="K42" s="28"/>
    </row>
    <row r="43" spans="1:11" ht="12" customHeight="1">
      <c r="A43" s="76"/>
      <c r="B43" s="72"/>
      <c r="C43" s="10">
        <v>4.7570079999999999</v>
      </c>
      <c r="D43" s="10">
        <v>4.9546270000000003</v>
      </c>
      <c r="E43" s="10">
        <v>4.9474770000000001</v>
      </c>
      <c r="F43" s="10">
        <v>4.9135499999999999</v>
      </c>
      <c r="G43" s="10"/>
      <c r="H43" s="10">
        <v>3.989754</v>
      </c>
      <c r="I43" s="10">
        <v>4.2506880000000002</v>
      </c>
      <c r="J43" s="10">
        <v>4.4064360000000002</v>
      </c>
      <c r="K43" s="10">
        <v>4.5595270000000001</v>
      </c>
    </row>
    <row r="44" spans="1:11" ht="12" customHeight="1">
      <c r="A44" s="82" t="s">
        <v>218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2" customHeight="1">
      <c r="A45" s="82"/>
      <c r="B45" s="10"/>
      <c r="C45" s="22" t="s">
        <v>239</v>
      </c>
      <c r="D45" s="22" t="s">
        <v>240</v>
      </c>
      <c r="E45" s="22" t="s">
        <v>239</v>
      </c>
      <c r="F45" s="22" t="s">
        <v>241</v>
      </c>
      <c r="G45" s="22"/>
      <c r="H45" s="22" t="s">
        <v>242</v>
      </c>
      <c r="I45" s="22" t="s">
        <v>241</v>
      </c>
      <c r="J45" s="22" t="s">
        <v>239</v>
      </c>
      <c r="K45" s="22" t="s">
        <v>241</v>
      </c>
    </row>
    <row r="46" spans="1:11" ht="12" customHeight="1">
      <c r="A46" s="76" t="s">
        <v>18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2" customHeight="1">
      <c r="A47" s="76"/>
      <c r="B47" s="10">
        <v>12.019456</v>
      </c>
      <c r="C47" s="10">
        <v>12.771834</v>
      </c>
      <c r="D47" s="10">
        <v>10.786210000000001</v>
      </c>
      <c r="E47" s="10">
        <v>9.3110759999999999</v>
      </c>
      <c r="F47" s="10">
        <v>4.7600600000000002</v>
      </c>
      <c r="G47" s="10">
        <v>7.0898620000000001</v>
      </c>
      <c r="H47" s="10">
        <v>8.557245</v>
      </c>
      <c r="I47" s="10">
        <v>7.8469439999999997</v>
      </c>
      <c r="J47" s="10">
        <v>6.8088199999999999</v>
      </c>
      <c r="K47" s="10">
        <v>2.6805599999999998</v>
      </c>
    </row>
    <row r="48" spans="1:11" ht="12" customHeight="1">
      <c r="A48" s="76" t="s">
        <v>19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2" customHeight="1">
      <c r="A49" s="76"/>
      <c r="B49" s="10">
        <v>2.8978489999999999</v>
      </c>
      <c r="C49" s="10">
        <v>3.1297519999999999</v>
      </c>
      <c r="D49" s="10">
        <v>2.8269000000000002</v>
      </c>
      <c r="E49" s="10">
        <v>2.9112849999999999</v>
      </c>
      <c r="F49" s="10">
        <v>3.3813870000000001</v>
      </c>
      <c r="G49" s="10">
        <v>2.9690099999999999</v>
      </c>
      <c r="H49" s="10">
        <v>3.2553230000000002</v>
      </c>
      <c r="I49" s="10">
        <v>3.413386</v>
      </c>
      <c r="J49" s="10">
        <v>3.1944159999999999</v>
      </c>
      <c r="K49" s="10">
        <v>3.6558570000000001</v>
      </c>
    </row>
    <row r="50" spans="1:11" ht="12" customHeight="1" thickBot="1">
      <c r="A50" s="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2" customHeight="1">
      <c r="A51" s="75" t="s">
        <v>20</v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2" customHeight="1">
      <c r="A52" s="76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2" customHeight="1">
      <c r="A53" s="76" t="s">
        <v>37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2" customHeight="1">
      <c r="A54" s="76"/>
      <c r="B54" s="10">
        <v>4.3622639999999997</v>
      </c>
      <c r="C54" s="10">
        <v>4.7548440000000003</v>
      </c>
      <c r="D54" s="10">
        <v>4.9112840000000002</v>
      </c>
      <c r="E54" s="10">
        <v>5.0470179999999996</v>
      </c>
      <c r="F54" s="10">
        <v>4.755687</v>
      </c>
      <c r="G54" s="10">
        <v>4.1279389999999996</v>
      </c>
      <c r="H54" s="10">
        <v>4.7816229999999997</v>
      </c>
      <c r="I54" s="10">
        <v>5.2074429999999996</v>
      </c>
      <c r="J54" s="10">
        <v>5.49064</v>
      </c>
      <c r="K54" s="10">
        <v>5.1889190000000003</v>
      </c>
    </row>
    <row r="55" spans="1:11" ht="12" customHeight="1">
      <c r="A55" s="76" t="s">
        <v>27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2" customHeight="1">
      <c r="A56" s="76"/>
      <c r="B56" s="10">
        <v>2.7440880000000001</v>
      </c>
      <c r="C56" s="10">
        <v>2.8694139999999999</v>
      </c>
      <c r="D56" s="10">
        <v>2.9421080000000002</v>
      </c>
      <c r="E56" s="10">
        <v>3.0105970000000002</v>
      </c>
      <c r="F56" s="10">
        <v>2.966237</v>
      </c>
      <c r="G56" s="10">
        <v>2.6539459999999999</v>
      </c>
      <c r="H56" s="10">
        <v>2.8780299999999999</v>
      </c>
      <c r="I56" s="10">
        <v>2.9651510000000001</v>
      </c>
      <c r="J56" s="10">
        <v>3.1999979999999999</v>
      </c>
      <c r="K56" s="10">
        <v>3.0669789999999999</v>
      </c>
    </row>
    <row r="57" spans="1:11" ht="12" customHeight="1">
      <c r="A57" s="76" t="s">
        <v>23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2" customHeight="1">
      <c r="A58" s="76"/>
      <c r="B58" s="10">
        <v>1.6321209999999999</v>
      </c>
      <c r="C58" s="10">
        <v>1.962486</v>
      </c>
      <c r="D58" s="10">
        <v>2.1378849999999998</v>
      </c>
      <c r="E58" s="10">
        <v>1.905467</v>
      </c>
      <c r="F58" s="10">
        <v>1.9866760000000001</v>
      </c>
      <c r="G58" s="10">
        <v>1.7093050000000001</v>
      </c>
      <c r="H58" s="10">
        <v>2.0951469999999999</v>
      </c>
      <c r="I58" s="10">
        <v>2.4078300000000001</v>
      </c>
      <c r="J58" s="10">
        <v>2.1659359999999999</v>
      </c>
      <c r="K58" s="10">
        <v>2.086109</v>
      </c>
    </row>
    <row r="59" spans="1:11" ht="12" customHeight="1">
      <c r="A59" s="76" t="s">
        <v>24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2" customHeight="1" thickBot="1">
      <c r="A60" s="80"/>
      <c r="B60" s="14">
        <v>0.39382400000000001</v>
      </c>
      <c r="C60" s="14">
        <v>0.67341499999999999</v>
      </c>
      <c r="D60" s="14">
        <v>0.27494099999999999</v>
      </c>
      <c r="E60" s="14">
        <v>0.21254200000000001</v>
      </c>
      <c r="F60" s="14">
        <v>0.61312299999999997</v>
      </c>
      <c r="G60" s="14">
        <v>0.84142899999999998</v>
      </c>
      <c r="H60" s="14">
        <v>0.89730100000000002</v>
      </c>
      <c r="I60" s="14">
        <v>0.85084199999999999</v>
      </c>
      <c r="J60" s="14">
        <v>0.55021500000000001</v>
      </c>
      <c r="K60" s="14">
        <v>1.060495</v>
      </c>
    </row>
    <row r="61" spans="1:11" ht="7.5" customHeight="1">
      <c r="A61" s="15"/>
      <c r="B61" s="16"/>
      <c r="C61" s="17"/>
      <c r="D61" s="16"/>
      <c r="E61" s="17"/>
      <c r="F61" s="16"/>
      <c r="G61" s="16"/>
      <c r="H61" s="17"/>
      <c r="I61" s="16"/>
      <c r="J61" s="17"/>
      <c r="K61" s="16"/>
    </row>
    <row r="62" spans="1:11" ht="11.9" customHeight="1">
      <c r="A62" s="15" t="s">
        <v>25</v>
      </c>
      <c r="B62" s="16"/>
      <c r="C62" s="17"/>
      <c r="D62" s="16"/>
      <c r="E62" s="17"/>
      <c r="F62" s="16"/>
      <c r="G62" s="16"/>
      <c r="H62" s="17"/>
      <c r="I62" s="16"/>
      <c r="J62" s="17"/>
      <c r="K62" s="16"/>
    </row>
    <row r="63" spans="1:11" ht="11.9" customHeight="1">
      <c r="A63" s="15"/>
      <c r="B63" s="16"/>
      <c r="C63" s="17"/>
      <c r="D63" s="16"/>
      <c r="E63" s="17"/>
      <c r="F63" s="16"/>
      <c r="G63" s="16"/>
      <c r="H63" s="17"/>
      <c r="I63" s="16"/>
      <c r="J63" s="17"/>
      <c r="K63" s="16"/>
    </row>
    <row r="64" spans="1:11" ht="11.9" customHeight="1">
      <c r="A64" s="18"/>
      <c r="B64" s="16"/>
      <c r="C64" s="17"/>
      <c r="D64" s="16"/>
      <c r="E64" s="17"/>
      <c r="F64" s="16"/>
      <c r="G64" s="16"/>
      <c r="H64" s="17"/>
      <c r="I64" s="16"/>
      <c r="J64" s="17"/>
      <c r="K64" s="16"/>
    </row>
    <row r="65" spans="1:11" ht="11.9" customHeight="1">
      <c r="A65" s="15"/>
      <c r="B65" s="16"/>
      <c r="C65" s="17"/>
      <c r="D65" s="16"/>
      <c r="E65" s="17"/>
      <c r="F65" s="16"/>
      <c r="G65" s="16"/>
      <c r="H65" s="17"/>
      <c r="I65" s="16"/>
      <c r="J65" s="17"/>
      <c r="K65" s="16"/>
    </row>
    <row r="66" spans="1:11" ht="11.9" customHeight="1">
      <c r="A66" s="15"/>
      <c r="B66" s="16"/>
      <c r="C66" s="17"/>
      <c r="D66" s="16"/>
      <c r="E66" s="17"/>
      <c r="F66" s="16"/>
      <c r="G66" s="16"/>
      <c r="H66" s="17"/>
      <c r="I66" s="16"/>
      <c r="J66" s="17"/>
      <c r="K66" s="16"/>
    </row>
    <row r="67" spans="1:11" ht="11.9" customHeight="1">
      <c r="A67" s="15"/>
      <c r="B67" s="16"/>
      <c r="C67" s="17"/>
      <c r="D67" s="16"/>
      <c r="E67" s="17"/>
      <c r="F67" s="16"/>
      <c r="G67" s="16"/>
      <c r="H67" s="17"/>
      <c r="I67" s="16"/>
      <c r="J67" s="17"/>
      <c r="K67" s="16"/>
    </row>
    <row r="68" spans="1:11" ht="11.9" customHeight="1">
      <c r="A68" s="15"/>
      <c r="B68" s="16"/>
      <c r="C68" s="17"/>
      <c r="D68" s="16"/>
      <c r="E68" s="17"/>
      <c r="F68" s="16"/>
      <c r="G68" s="16"/>
      <c r="H68" s="17"/>
      <c r="I68" s="16"/>
      <c r="J68" s="17"/>
      <c r="K68" s="16"/>
    </row>
    <row r="69" spans="1:11" ht="11.9" customHeight="1">
      <c r="A69" s="15"/>
      <c r="B69" s="16"/>
      <c r="C69" s="17"/>
      <c r="D69" s="16"/>
      <c r="E69" s="17"/>
      <c r="F69" s="16"/>
      <c r="G69" s="16"/>
      <c r="H69" s="17"/>
      <c r="I69" s="16"/>
      <c r="J69" s="17"/>
      <c r="K69" s="16"/>
    </row>
    <row r="70" spans="1:11" ht="11.9" customHeight="1">
      <c r="A70" s="15"/>
      <c r="B70" s="16"/>
      <c r="C70" s="17"/>
      <c r="D70" s="16"/>
      <c r="E70" s="17"/>
      <c r="F70" s="16"/>
      <c r="G70" s="16"/>
      <c r="H70" s="17"/>
      <c r="I70" s="16"/>
      <c r="J70" s="17"/>
      <c r="K70" s="16"/>
    </row>
    <row r="71" spans="1:11" ht="11.9" customHeight="1">
      <c r="A71" s="15"/>
      <c r="B71" s="16"/>
      <c r="C71" s="17"/>
      <c r="D71" s="16"/>
      <c r="E71" s="17"/>
      <c r="F71" s="16"/>
      <c r="G71" s="16"/>
      <c r="H71" s="17"/>
      <c r="I71" s="16"/>
      <c r="J71" s="17"/>
      <c r="K71" s="16"/>
    </row>
    <row r="72" spans="1:11" ht="11.9" customHeight="1">
      <c r="A72" s="15"/>
      <c r="B72" s="16"/>
      <c r="C72" s="17"/>
      <c r="D72" s="16"/>
      <c r="E72" s="17"/>
      <c r="F72" s="16"/>
      <c r="G72" s="16"/>
      <c r="H72" s="17"/>
      <c r="I72" s="16"/>
      <c r="J72" s="17"/>
      <c r="K72" s="16"/>
    </row>
    <row r="73" spans="1:11" ht="11.9" customHeight="1">
      <c r="A73" s="15"/>
      <c r="B73" s="16"/>
      <c r="C73" s="17"/>
      <c r="D73" s="16"/>
      <c r="E73" s="17"/>
      <c r="F73" s="16"/>
      <c r="G73" s="16"/>
      <c r="H73" s="17"/>
      <c r="I73" s="16"/>
      <c r="J73" s="17"/>
      <c r="K73" s="16"/>
    </row>
    <row r="74" spans="1:11" ht="11.9" customHeight="1">
      <c r="A74" s="15"/>
      <c r="B74" s="16"/>
      <c r="C74" s="17"/>
      <c r="D74" s="16"/>
      <c r="E74" s="17"/>
      <c r="F74" s="16"/>
      <c r="G74" s="16"/>
      <c r="H74" s="17"/>
      <c r="I74" s="16"/>
      <c r="J74" s="17"/>
      <c r="K74" s="16"/>
    </row>
    <row r="75" spans="1:11" ht="11.9" customHeight="1">
      <c r="A75" s="15"/>
      <c r="B75" s="16"/>
      <c r="C75" s="17"/>
      <c r="D75" s="16"/>
      <c r="E75" s="17"/>
      <c r="F75" s="16"/>
      <c r="G75" s="16"/>
      <c r="H75" s="17"/>
      <c r="I75" s="16"/>
      <c r="J75" s="17"/>
      <c r="K75" s="16"/>
    </row>
    <row r="76" spans="1:11" ht="11.9" customHeight="1">
      <c r="A76" s="15"/>
      <c r="B76" s="16"/>
      <c r="C76" s="17"/>
      <c r="D76" s="16"/>
      <c r="E76" s="17"/>
      <c r="F76" s="16"/>
      <c r="G76" s="16"/>
      <c r="H76" s="17"/>
      <c r="I76" s="16"/>
      <c r="J76" s="17"/>
      <c r="K76" s="16"/>
    </row>
    <row r="77" spans="1:11" ht="11.9" customHeight="1">
      <c r="A77" s="15"/>
      <c r="B77" s="16"/>
      <c r="C77" s="17"/>
      <c r="D77" s="16"/>
      <c r="E77" s="17"/>
      <c r="F77" s="16"/>
      <c r="G77" s="16"/>
      <c r="H77" s="17"/>
      <c r="I77" s="16"/>
      <c r="J77" s="17"/>
      <c r="K77" s="16"/>
    </row>
    <row r="78" spans="1:11" ht="11.9" customHeight="1">
      <c r="A78" s="15"/>
      <c r="B78" s="16"/>
      <c r="C78" s="17"/>
      <c r="D78" s="16"/>
      <c r="E78" s="17"/>
      <c r="F78" s="16"/>
      <c r="G78" s="16"/>
      <c r="H78" s="17"/>
      <c r="I78" s="16"/>
      <c r="J78" s="17"/>
      <c r="K78" s="16"/>
    </row>
    <row r="79" spans="1:11" ht="11.9" customHeight="1">
      <c r="A79" s="15"/>
      <c r="B79" s="16"/>
      <c r="C79" s="17"/>
      <c r="D79" s="16"/>
      <c r="E79" s="17"/>
      <c r="F79" s="16"/>
      <c r="G79" s="16"/>
      <c r="H79" s="17"/>
      <c r="I79" s="16"/>
      <c r="J79" s="17"/>
      <c r="K79" s="16"/>
    </row>
    <row r="80" spans="1:11" ht="11.9" customHeight="1">
      <c r="A80" s="15"/>
      <c r="B80" s="16"/>
      <c r="C80" s="17"/>
      <c r="D80" s="16"/>
      <c r="E80" s="17"/>
      <c r="F80" s="16"/>
      <c r="G80" s="16"/>
      <c r="H80" s="17"/>
      <c r="I80" s="16"/>
      <c r="J80" s="17"/>
      <c r="K80" s="16"/>
    </row>
    <row r="81" spans="1:11" ht="11.9" customHeight="1">
      <c r="A81" s="15"/>
      <c r="B81" s="16"/>
      <c r="C81" s="17"/>
      <c r="D81" s="16"/>
      <c r="E81" s="17"/>
      <c r="F81" s="16"/>
      <c r="G81" s="16"/>
      <c r="H81" s="17"/>
      <c r="I81" s="16"/>
      <c r="J81" s="17"/>
      <c r="K81" s="16"/>
    </row>
    <row r="82" spans="1:11" ht="11.9" customHeight="1">
      <c r="A82" s="15"/>
      <c r="B82" s="16"/>
      <c r="C82" s="17"/>
      <c r="D82" s="16"/>
      <c r="E82" s="17"/>
      <c r="F82" s="16"/>
      <c r="G82" s="16"/>
      <c r="H82" s="17"/>
      <c r="I82" s="16"/>
      <c r="J82" s="17"/>
      <c r="K82" s="16"/>
    </row>
    <row r="83" spans="1:11" ht="11.9" customHeight="1">
      <c r="A83" s="15"/>
      <c r="B83" s="16"/>
      <c r="C83" s="17"/>
      <c r="D83" s="16"/>
      <c r="E83" s="17"/>
      <c r="F83" s="16"/>
      <c r="G83" s="16"/>
      <c r="H83" s="17"/>
      <c r="I83" s="16"/>
      <c r="J83" s="17"/>
      <c r="K83" s="16"/>
    </row>
    <row r="84" spans="1:11" ht="11.9" customHeight="1">
      <c r="A84" s="15"/>
      <c r="B84" s="16"/>
      <c r="C84" s="17"/>
      <c r="D84" s="16"/>
      <c r="E84" s="17"/>
      <c r="F84" s="16"/>
      <c r="G84" s="16"/>
      <c r="H84" s="17"/>
      <c r="I84" s="16"/>
      <c r="J84" s="17"/>
      <c r="K84" s="16"/>
    </row>
    <row r="85" spans="1:11" ht="11.9" customHeight="1">
      <c r="A85" s="15"/>
      <c r="B85" s="16"/>
      <c r="C85" s="17"/>
      <c r="D85" s="16"/>
      <c r="E85" s="17"/>
      <c r="F85" s="16"/>
      <c r="G85" s="16"/>
      <c r="H85" s="17"/>
      <c r="I85" s="16"/>
      <c r="J85" s="17"/>
      <c r="K85" s="16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1" ht="11.9" customHeight="1"/>
    <row r="128" spans="1:11">
      <c r="A128" s="19"/>
      <c r="B128" s="20"/>
      <c r="D128" s="20"/>
      <c r="F128" s="20"/>
      <c r="G128" s="20"/>
      <c r="I128" s="20"/>
      <c r="K128" s="20"/>
    </row>
    <row r="129" spans="1:11">
      <c r="A129" s="15"/>
      <c r="B129" s="16"/>
      <c r="D129" s="16"/>
      <c r="F129" s="16"/>
      <c r="G129" s="16"/>
      <c r="I129" s="16"/>
      <c r="K129" s="16"/>
    </row>
    <row r="130" spans="1:11">
      <c r="A130" s="17"/>
      <c r="B130" s="16"/>
      <c r="D130" s="16"/>
      <c r="F130" s="16"/>
      <c r="G130" s="16"/>
      <c r="I130" s="16"/>
      <c r="K130" s="16"/>
    </row>
    <row r="131" spans="1:11">
      <c r="A131" s="17"/>
      <c r="B131" s="16"/>
      <c r="D131" s="16"/>
      <c r="F131" s="16"/>
      <c r="G131" s="16"/>
      <c r="I131" s="16"/>
      <c r="K131" s="16"/>
    </row>
    <row r="132" spans="1:11">
      <c r="A132" s="17"/>
      <c r="B132" s="16"/>
      <c r="D132" s="16"/>
      <c r="F132" s="16"/>
      <c r="G132" s="16"/>
      <c r="I132" s="16"/>
      <c r="K132" s="16"/>
    </row>
    <row r="133" spans="1:11">
      <c r="A133" s="17"/>
      <c r="B133" s="16"/>
      <c r="D133" s="16"/>
      <c r="F133" s="16"/>
      <c r="G133" s="16"/>
      <c r="I133" s="16"/>
      <c r="K133" s="16"/>
    </row>
    <row r="134" spans="1:11">
      <c r="A134" s="17"/>
      <c r="B134" s="16"/>
      <c r="D134" s="16"/>
      <c r="F134" s="16"/>
      <c r="G134" s="16"/>
      <c r="I134" s="16"/>
      <c r="K134" s="16"/>
    </row>
    <row r="135" spans="1:11">
      <c r="A135" s="17"/>
      <c r="B135" s="16"/>
      <c r="D135" s="16"/>
      <c r="F135" s="16"/>
      <c r="G135" s="16"/>
      <c r="I135" s="16"/>
      <c r="K135" s="16"/>
    </row>
    <row r="136" spans="1:11">
      <c r="A136" s="15"/>
      <c r="B136" s="16"/>
      <c r="D136" s="16"/>
      <c r="F136" s="16"/>
      <c r="G136" s="16"/>
      <c r="I136" s="16"/>
      <c r="K136" s="16"/>
    </row>
    <row r="137" spans="1:11">
      <c r="A137" s="15"/>
      <c r="B137" s="16"/>
      <c r="D137" s="16"/>
      <c r="F137" s="16"/>
      <c r="G137" s="16"/>
      <c r="I137" s="16"/>
      <c r="K137" s="16"/>
    </row>
    <row r="138" spans="1:11">
      <c r="A138" s="15"/>
      <c r="B138" s="16"/>
      <c r="D138" s="16"/>
      <c r="F138" s="16"/>
      <c r="G138" s="16"/>
      <c r="I138" s="16"/>
      <c r="K138" s="16"/>
    </row>
    <row r="139" spans="1:11">
      <c r="A139" s="15"/>
      <c r="B139" s="16"/>
      <c r="D139" s="16"/>
      <c r="F139" s="16"/>
      <c r="G139" s="16"/>
      <c r="I139" s="16"/>
      <c r="K139" s="16"/>
    </row>
    <row r="140" spans="1:11">
      <c r="A140" s="15"/>
      <c r="B140" s="16"/>
      <c r="D140" s="16"/>
      <c r="F140" s="16"/>
      <c r="G140" s="16"/>
      <c r="I140" s="16"/>
      <c r="K140" s="16"/>
    </row>
    <row r="141" spans="1:11">
      <c r="A141" s="15"/>
      <c r="B141" s="16"/>
      <c r="D141" s="16"/>
      <c r="F141" s="16"/>
      <c r="G141" s="16"/>
      <c r="I141" s="16"/>
      <c r="K141" s="16"/>
    </row>
    <row r="142" spans="1:11">
      <c r="A142" s="15"/>
      <c r="B142" s="16"/>
      <c r="D142" s="16"/>
      <c r="F142" s="16"/>
      <c r="G142" s="16"/>
      <c r="I142" s="16"/>
      <c r="K142" s="16"/>
    </row>
    <row r="143" spans="1:11">
      <c r="A143" s="17"/>
      <c r="B143" s="16"/>
      <c r="D143" s="16"/>
      <c r="F143" s="16"/>
      <c r="G143" s="16"/>
      <c r="I143" s="16"/>
      <c r="K143" s="16"/>
    </row>
    <row r="144" spans="1:11">
      <c r="A144" s="17"/>
      <c r="B144" s="16"/>
      <c r="D144" s="16"/>
      <c r="F144" s="16"/>
      <c r="G144" s="16"/>
      <c r="I144" s="16"/>
      <c r="K144" s="16"/>
    </row>
  </sheetData>
  <mergeCells count="30">
    <mergeCell ref="A57:A58"/>
    <mergeCell ref="A59:A60"/>
    <mergeCell ref="A46:A47"/>
    <mergeCell ref="A48:A49"/>
    <mergeCell ref="A51:A52"/>
    <mergeCell ref="A53:A54"/>
    <mergeCell ref="A38:A39"/>
    <mergeCell ref="A40:A41"/>
    <mergeCell ref="A42:A43"/>
    <mergeCell ref="A36:A37"/>
    <mergeCell ref="A44:A45"/>
    <mergeCell ref="A55:A56"/>
    <mergeCell ref="A24:A25"/>
    <mergeCell ref="A28:A29"/>
    <mergeCell ref="A30:A31"/>
    <mergeCell ref="A32:A33"/>
    <mergeCell ref="A26:A27"/>
    <mergeCell ref="A34:A35"/>
    <mergeCell ref="A12:A13"/>
    <mergeCell ref="A14:A15"/>
    <mergeCell ref="A16:A17"/>
    <mergeCell ref="A18:A19"/>
    <mergeCell ref="A20:A21"/>
    <mergeCell ref="A22:A23"/>
    <mergeCell ref="A4:A5"/>
    <mergeCell ref="B4:F4"/>
    <mergeCell ref="G4:K4"/>
    <mergeCell ref="A6:A7"/>
    <mergeCell ref="A8:A9"/>
    <mergeCell ref="A10:A11"/>
  </mergeCells>
  <phoneticPr fontId="1"/>
  <pageMargins left="0.75" right="0.75" top="1" bottom="1" header="0.51200000000000001" footer="0.51200000000000001"/>
  <pageSetup paperSize="9" scale="64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8161-6116-4958-BEA9-6054FFFA27D6}">
  <dimension ref="A1:K95"/>
  <sheetViews>
    <sheetView zoomScaleNormal="100" workbookViewId="0"/>
  </sheetViews>
  <sheetFormatPr defaultColWidth="9" defaultRowHeight="11"/>
  <cols>
    <col min="1" max="1" width="23.6328125" style="2" customWidth="1"/>
    <col min="2" max="2" width="15.6328125" style="2" customWidth="1"/>
    <col min="3" max="3" width="8.36328125" style="2" customWidth="1"/>
    <col min="4" max="4" width="15.6328125" style="2" customWidth="1"/>
    <col min="5" max="5" width="8.36328125" style="2" customWidth="1"/>
    <col min="6" max="6" width="15.6328125" style="2" customWidth="1"/>
    <col min="7" max="7" width="8.36328125" style="2" customWidth="1"/>
    <col min="8" max="8" width="15.6328125" style="2" customWidth="1"/>
    <col min="9" max="9" width="8.36328125" style="2" customWidth="1"/>
    <col min="10" max="10" width="15.6328125" style="2" customWidth="1"/>
    <col min="11" max="11" width="8.36328125" style="2" customWidth="1"/>
    <col min="12" max="16384" width="9" style="2"/>
  </cols>
  <sheetData>
    <row r="1" spans="1:11" ht="19">
      <c r="D1" s="1" t="s">
        <v>38</v>
      </c>
    </row>
    <row r="3" spans="1:11" ht="11.5" thickBot="1">
      <c r="K3" s="3" t="s">
        <v>39</v>
      </c>
    </row>
    <row r="4" spans="1:11" ht="12" customHeight="1" thickBot="1">
      <c r="A4" s="86" t="s">
        <v>40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87"/>
      <c r="B5" s="4"/>
      <c r="C5" s="5" t="s">
        <v>41</v>
      </c>
      <c r="D5" s="4"/>
      <c r="E5" s="5" t="s">
        <v>41</v>
      </c>
      <c r="F5" s="4"/>
      <c r="G5" s="5" t="s">
        <v>41</v>
      </c>
      <c r="H5" s="4"/>
      <c r="I5" s="5" t="s">
        <v>41</v>
      </c>
      <c r="J5" s="4"/>
      <c r="K5" s="5" t="s">
        <v>41</v>
      </c>
    </row>
    <row r="6" spans="1:11" ht="12" customHeight="1">
      <c r="A6" s="76" t="s">
        <v>42</v>
      </c>
      <c r="B6" s="29"/>
      <c r="C6" s="30"/>
      <c r="D6" s="29"/>
      <c r="E6" s="30"/>
      <c r="F6" s="29"/>
      <c r="G6" s="30"/>
      <c r="H6" s="29"/>
      <c r="I6" s="30"/>
      <c r="J6" s="29"/>
      <c r="K6" s="30"/>
    </row>
    <row r="7" spans="1:11" ht="12" customHeight="1">
      <c r="A7" s="76"/>
      <c r="B7" s="31">
        <v>131601.46</v>
      </c>
      <c r="C7" s="32">
        <f>IF(B7="", "", IF(B7&lt;=0, "*", 100))</f>
        <v>100</v>
      </c>
      <c r="D7" s="31">
        <v>168210.1</v>
      </c>
      <c r="E7" s="32">
        <f>IF(D7="", "", IF(D7&lt;=0, "*", 100))</f>
        <v>100</v>
      </c>
      <c r="F7" s="31">
        <v>231568.61</v>
      </c>
      <c r="G7" s="32">
        <f>IF(F7="", "", IF(F7&lt;=0, "*", 100))</f>
        <v>100</v>
      </c>
      <c r="H7" s="31">
        <v>281650.05</v>
      </c>
      <c r="I7" s="32">
        <f>IF(H7="", "", IF(H7&lt;=0, "*", 100))</f>
        <v>100</v>
      </c>
      <c r="J7" s="31">
        <v>253728.32</v>
      </c>
      <c r="K7" s="32">
        <f>IF(J7="", "", IF(J7&lt;=0, "*", 100))</f>
        <v>100</v>
      </c>
    </row>
    <row r="8" spans="1:11" ht="12" customHeight="1">
      <c r="A8" s="76" t="s">
        <v>43</v>
      </c>
      <c r="B8" s="31"/>
      <c r="C8" s="30"/>
      <c r="D8" s="31"/>
      <c r="E8" s="30"/>
      <c r="F8" s="31"/>
      <c r="G8" s="30"/>
      <c r="H8" s="31"/>
      <c r="I8" s="30"/>
      <c r="J8" s="31"/>
      <c r="K8" s="30"/>
    </row>
    <row r="9" spans="1:11" ht="12" customHeight="1">
      <c r="A9" s="76"/>
      <c r="B9" s="31">
        <v>9676.8799999999992</v>
      </c>
      <c r="C9" s="32">
        <v>7.3</v>
      </c>
      <c r="D9" s="31">
        <v>12313.22</v>
      </c>
      <c r="E9" s="32">
        <f>IF(D9="-","-",IF(D7="","",IF(D7&lt;=0,"*",D9*100/D7)))</f>
        <v>7.3201430829658856</v>
      </c>
      <c r="F9" s="31">
        <v>15224.83</v>
      </c>
      <c r="G9" s="32">
        <f>IF(F9="-","-",IF(F7="","",IF(F7&lt;=0,"*",F9*100/F7)))</f>
        <v>6.5746518925859601</v>
      </c>
      <c r="H9" s="31">
        <v>0.46</v>
      </c>
      <c r="I9" s="32">
        <f>IF(H9="-","-",IF(H7="","",IF(H7&lt;=0,"*",H9*100/H7)))</f>
        <v>1.6332324457247568E-4</v>
      </c>
      <c r="J9" s="31" t="s">
        <v>44</v>
      </c>
      <c r="K9" s="32" t="str">
        <f>IF(J9="-","-",IF(J7="","",IF(J7&lt;=0,"*",J9*100/J7)))</f>
        <v>-</v>
      </c>
    </row>
    <row r="10" spans="1:11" ht="12" customHeight="1">
      <c r="A10" s="76" t="s">
        <v>45</v>
      </c>
      <c r="B10" s="31"/>
      <c r="C10" s="30"/>
      <c r="D10" s="31"/>
      <c r="E10" s="30"/>
      <c r="F10" s="31"/>
      <c r="G10" s="30"/>
      <c r="H10" s="31"/>
      <c r="I10" s="30"/>
      <c r="J10" s="31"/>
      <c r="K10" s="30"/>
    </row>
    <row r="11" spans="1:11" ht="12" customHeight="1">
      <c r="A11" s="76"/>
      <c r="B11" s="31">
        <v>72334.87</v>
      </c>
      <c r="C11" s="32">
        <f>IF(B7="","", IF(B7&lt;=0,"*",B11*100/B7))</f>
        <v>54.96509689178221</v>
      </c>
      <c r="D11" s="31">
        <v>85848.62</v>
      </c>
      <c r="E11" s="32">
        <f>IF(D7="","", IF(D7&lt;=0,"*",D11*100/D7))</f>
        <v>51.036542989986927</v>
      </c>
      <c r="F11" s="31">
        <v>125286.08</v>
      </c>
      <c r="G11" s="32">
        <f>IF(F7="","", IF(F7&lt;=0,"*",F11*100/F7))</f>
        <v>54.103222366796608</v>
      </c>
      <c r="H11" s="31">
        <v>162174.14000000001</v>
      </c>
      <c r="I11" s="32">
        <f>IF(H7="","", IF(H7&lt;=0,"*",H11*100/H7))</f>
        <v>57.580014631632416</v>
      </c>
      <c r="J11" s="31">
        <v>140390.49</v>
      </c>
      <c r="K11" s="32">
        <f>IF(J7="","", IF(J7&lt;=0,"*",J11*100/J7))</f>
        <v>55.331028873718154</v>
      </c>
    </row>
    <row r="12" spans="1:11" ht="12" customHeight="1">
      <c r="A12" s="76" t="s">
        <v>46</v>
      </c>
      <c r="B12" s="31"/>
      <c r="C12" s="30"/>
      <c r="D12" s="31"/>
      <c r="E12" s="30"/>
      <c r="F12" s="31"/>
      <c r="G12" s="30"/>
      <c r="H12" s="31"/>
      <c r="I12" s="30"/>
      <c r="J12" s="31"/>
      <c r="K12" s="30"/>
    </row>
    <row r="13" spans="1:11" ht="12" customHeight="1" thickBot="1">
      <c r="A13" s="80"/>
      <c r="B13" s="33">
        <v>49589</v>
      </c>
      <c r="C13" s="23">
        <f>IF(B7="","", IF(B7&lt;=0,"*",B13*100/B7))</f>
        <v>37.68119289861982</v>
      </c>
      <c r="D13" s="33">
        <v>70048.259999999995</v>
      </c>
      <c r="E13" s="23">
        <f>IF(D7="","", IF(D7&lt;=0,"*",D13*100/D7))</f>
        <v>41.643313927047181</v>
      </c>
      <c r="F13" s="33">
        <v>91057.7</v>
      </c>
      <c r="G13" s="23">
        <f>IF(F7="","", IF(F7&lt;=0,"*",F13*100/F7))</f>
        <v>39.322125740617437</v>
      </c>
      <c r="H13" s="33">
        <v>119475.45</v>
      </c>
      <c r="I13" s="34">
        <f>IF(H7="","", IF(H7&lt;=0,"*",H13*100/H7))</f>
        <v>42.41982204512302</v>
      </c>
      <c r="J13" s="33">
        <v>113337.83</v>
      </c>
      <c r="K13" s="23">
        <f>IF(J7="","", IF(J7&lt;=0,"*",J13*100/J7))</f>
        <v>44.668971126281839</v>
      </c>
    </row>
    <row r="14" spans="1:11" ht="8.25" customHeight="1">
      <c r="A14" s="15"/>
      <c r="C14" s="17"/>
      <c r="D14" s="16"/>
      <c r="E14" s="17"/>
      <c r="F14" s="16"/>
      <c r="G14" s="17"/>
      <c r="H14" s="16"/>
      <c r="I14" s="17"/>
      <c r="J14" s="16"/>
      <c r="K14" s="17"/>
    </row>
    <row r="15" spans="1:11" ht="11.9" customHeight="1">
      <c r="A15" s="24" t="s">
        <v>47</v>
      </c>
      <c r="B15" s="16"/>
      <c r="C15" s="17"/>
      <c r="D15" s="16"/>
      <c r="E15" s="17"/>
      <c r="F15" s="16"/>
      <c r="G15" s="17"/>
      <c r="H15" s="16"/>
      <c r="I15" s="17"/>
      <c r="J15" s="16"/>
      <c r="K15" s="17"/>
    </row>
    <row r="16" spans="1:11" ht="11.9" customHeight="1">
      <c r="A16" s="15" t="s">
        <v>48</v>
      </c>
      <c r="B16" s="16"/>
      <c r="C16" s="17"/>
      <c r="D16" s="16"/>
      <c r="E16" s="17"/>
      <c r="F16" s="16"/>
      <c r="G16" s="17"/>
      <c r="H16" s="16"/>
      <c r="I16" s="17"/>
      <c r="J16" s="16"/>
      <c r="K16" s="17"/>
    </row>
    <row r="17" spans="1:11" ht="11.9" customHeight="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</row>
    <row r="18" spans="1:11" ht="11.9" customHeight="1">
      <c r="A18" s="15"/>
      <c r="B18" s="16"/>
      <c r="C18" s="17"/>
      <c r="D18" s="16"/>
      <c r="E18" s="17"/>
      <c r="F18" s="16"/>
      <c r="G18" s="17"/>
      <c r="H18" s="16"/>
      <c r="I18" s="17"/>
      <c r="J18" s="16"/>
      <c r="K18" s="17"/>
    </row>
    <row r="19" spans="1:11" ht="11.9" customHeight="1">
      <c r="A19" s="15"/>
      <c r="B19" s="16"/>
      <c r="C19" s="17"/>
      <c r="D19" s="16"/>
      <c r="E19" s="17"/>
      <c r="F19" s="16"/>
      <c r="G19" s="17"/>
      <c r="H19" s="16"/>
      <c r="I19" s="17"/>
      <c r="J19" s="16"/>
      <c r="K19" s="17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15"/>
      <c r="B21" s="16"/>
      <c r="C21" s="17"/>
      <c r="D21" s="16"/>
      <c r="E21" s="17"/>
      <c r="F21" s="16"/>
      <c r="G21" s="17"/>
      <c r="H21" s="16"/>
      <c r="I21" s="17"/>
      <c r="J21" s="16"/>
      <c r="K21" s="17"/>
    </row>
    <row r="22" spans="1:11" ht="11.9" customHeight="1">
      <c r="A22" s="15"/>
      <c r="B22" s="16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10">
    <mergeCell ref="A10:A11"/>
    <mergeCell ref="A12:A13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52C7-FC60-4547-A0C0-816A4472BC4D}">
  <dimension ref="A1:K95"/>
  <sheetViews>
    <sheetView zoomScaleNormal="100" workbookViewId="0"/>
  </sheetViews>
  <sheetFormatPr defaultColWidth="9" defaultRowHeight="11"/>
  <cols>
    <col min="1" max="1" width="30.6328125" style="2" customWidth="1"/>
    <col min="2" max="2" width="12.6328125" style="2" customWidth="1"/>
    <col min="3" max="3" width="8.08984375" style="2" customWidth="1"/>
    <col min="4" max="4" width="12.6328125" style="2" customWidth="1"/>
    <col min="5" max="5" width="8.08984375" style="2" customWidth="1"/>
    <col min="6" max="6" width="12.6328125" style="2" customWidth="1"/>
    <col min="7" max="7" width="8.08984375" style="2" customWidth="1"/>
    <col min="8" max="8" width="12.6328125" style="2" customWidth="1"/>
    <col min="9" max="9" width="8.08984375" style="2" customWidth="1"/>
    <col min="10" max="10" width="12.6328125" style="2" customWidth="1"/>
    <col min="11" max="11" width="8.08984375" style="2" customWidth="1"/>
    <col min="12" max="16384" width="9" style="2"/>
  </cols>
  <sheetData>
    <row r="1" spans="1:11" ht="19">
      <c r="D1" s="1" t="s">
        <v>49</v>
      </c>
    </row>
    <row r="3" spans="1:11" ht="11.5" thickBot="1">
      <c r="K3" s="3" t="s">
        <v>39</v>
      </c>
    </row>
    <row r="4" spans="1:11" ht="12" customHeight="1" thickBot="1">
      <c r="A4" s="77" t="s">
        <v>40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78"/>
      <c r="B5" s="4"/>
      <c r="C5" s="5" t="s">
        <v>41</v>
      </c>
      <c r="D5" s="4"/>
      <c r="E5" s="5" t="s">
        <v>41</v>
      </c>
      <c r="F5" s="4"/>
      <c r="G5" s="5" t="s">
        <v>41</v>
      </c>
      <c r="H5" s="4"/>
      <c r="I5" s="5" t="s">
        <v>41</v>
      </c>
      <c r="J5" s="4"/>
      <c r="K5" s="5" t="s">
        <v>41</v>
      </c>
    </row>
    <row r="6" spans="1:11" ht="12" customHeight="1">
      <c r="A6" s="75" t="s">
        <v>50</v>
      </c>
      <c r="B6" s="35"/>
      <c r="C6" s="21"/>
      <c r="D6" s="35"/>
      <c r="E6" s="21"/>
      <c r="F6" s="35"/>
      <c r="G6" s="21"/>
      <c r="H6" s="35"/>
      <c r="I6" s="21"/>
      <c r="J6" s="35"/>
      <c r="K6" s="21"/>
    </row>
    <row r="7" spans="1:11" ht="12" customHeight="1">
      <c r="A7" s="76"/>
      <c r="B7" s="31">
        <v>2574610.75</v>
      </c>
      <c r="C7" s="32">
        <f>IF(B7="", "", IF(B7&lt;=0, "*", 100))</f>
        <v>100</v>
      </c>
      <c r="D7" s="31">
        <v>2741995.51</v>
      </c>
      <c r="E7" s="32">
        <f>IF(D7="", "", IF(D7&lt;=0, "*", 100))</f>
        <v>100</v>
      </c>
      <c r="F7" s="31">
        <v>2812265.23</v>
      </c>
      <c r="G7" s="32">
        <f>IF(F7="", "", IF(F7&lt;=0, "*", 100))</f>
        <v>100</v>
      </c>
      <c r="H7" s="31">
        <v>2907755.04</v>
      </c>
      <c r="I7" s="32">
        <f>IF(H7="", "", IF(H7&lt;=0, "*", 100))</f>
        <v>100</v>
      </c>
      <c r="J7" s="31">
        <v>2854573.02</v>
      </c>
      <c r="K7" s="32">
        <f>IF(J7="", "", IF(J7&lt;=0, "*", 100))</f>
        <v>100</v>
      </c>
    </row>
    <row r="8" spans="1:11" ht="12" customHeight="1">
      <c r="A8" s="76" t="s">
        <v>51</v>
      </c>
      <c r="B8" s="31"/>
      <c r="C8" s="22"/>
      <c r="D8" s="31"/>
      <c r="E8" s="22"/>
      <c r="F8" s="31"/>
      <c r="G8" s="22"/>
      <c r="H8" s="31"/>
      <c r="I8" s="22"/>
      <c r="J8" s="31"/>
      <c r="K8" s="22"/>
    </row>
    <row r="9" spans="1:11" ht="12" customHeight="1">
      <c r="A9" s="76"/>
      <c r="B9" s="31">
        <v>1843033</v>
      </c>
      <c r="C9" s="32">
        <f>IF(B7="","", IF(B7&lt;=0,"*",B9*100/B7))</f>
        <v>71.58491822501712</v>
      </c>
      <c r="D9" s="31">
        <v>1915175</v>
      </c>
      <c r="E9" s="32">
        <f>IF(D7="","", IF(D7&lt;=0,"*",D9*100/D7))</f>
        <v>69.846029762463033</v>
      </c>
      <c r="F9" s="31">
        <v>1968474.91</v>
      </c>
      <c r="G9" s="32">
        <f>IF(F7="","", IF(F7&lt;=0,"*",F9*100/F7))</f>
        <v>69.996061857935075</v>
      </c>
      <c r="H9" s="31">
        <v>2013560.35</v>
      </c>
      <c r="I9" s="32">
        <v>69.3</v>
      </c>
      <c r="J9" s="31">
        <v>1981473.37</v>
      </c>
      <c r="K9" s="32">
        <f>IF(J7="","", IF(J7&lt;=0,"*",J9*100/J7))</f>
        <v>69.414001888100245</v>
      </c>
    </row>
    <row r="10" spans="1:11" ht="12" customHeight="1">
      <c r="A10" s="36"/>
      <c r="B10" s="31"/>
      <c r="C10" s="22"/>
      <c r="D10" s="31"/>
      <c r="E10" s="22"/>
      <c r="F10" s="31"/>
      <c r="G10" s="22"/>
      <c r="H10" s="31"/>
      <c r="I10" s="22"/>
      <c r="J10" s="31"/>
      <c r="K10" s="22"/>
    </row>
    <row r="11" spans="1:11" ht="12" customHeight="1">
      <c r="A11" s="36" t="s">
        <v>52</v>
      </c>
      <c r="B11" s="31">
        <v>101960.91</v>
      </c>
      <c r="C11" s="32">
        <f>IF(B7="", "", IF(B7&lt;=0, "*", B11*100/B7))</f>
        <v>3.9602456410158311</v>
      </c>
      <c r="D11" s="31">
        <v>96372.41</v>
      </c>
      <c r="E11" s="32">
        <f>IF(D7="", "", IF(D7&lt;=0, "*", D11*100/D7))</f>
        <v>3.5146815393581736</v>
      </c>
      <c r="F11" s="31">
        <v>110198.24</v>
      </c>
      <c r="G11" s="32">
        <f>IF(F7="", "", IF(F7&lt;=0, "*", F11*100/F7))</f>
        <v>3.9184867353354149</v>
      </c>
      <c r="H11" s="31">
        <v>96475.15</v>
      </c>
      <c r="I11" s="32">
        <f>IF(H7="", "", IF(H7&lt;=0, "*", H11*100/H7))</f>
        <v>3.3178568577083438</v>
      </c>
      <c r="J11" s="31">
        <v>94968.83</v>
      </c>
      <c r="K11" s="32">
        <f>IF(J7="", "", IF(J7&lt;=0, "*", J11*100/J7))</f>
        <v>3.3269014081832804</v>
      </c>
    </row>
    <row r="12" spans="1:11" ht="12" customHeight="1">
      <c r="A12" s="91" t="s">
        <v>53</v>
      </c>
      <c r="B12" s="31"/>
      <c r="C12" s="22"/>
      <c r="D12" s="31"/>
      <c r="E12" s="22"/>
      <c r="F12" s="31"/>
      <c r="G12" s="22"/>
      <c r="H12" s="31"/>
      <c r="I12" s="22"/>
      <c r="J12" s="31"/>
      <c r="K12" s="22"/>
    </row>
    <row r="13" spans="1:11" ht="12" customHeight="1">
      <c r="A13" s="91"/>
      <c r="B13" s="31">
        <v>268181.34000000003</v>
      </c>
      <c r="C13" s="32">
        <f>IF(B7="", "", IF(B7&lt;=0, "*", B13*100/B7))</f>
        <v>10.416383913568295</v>
      </c>
      <c r="D13" s="31">
        <v>281663.95</v>
      </c>
      <c r="E13" s="32">
        <f>IF(D7="", "", IF(D7&lt;=0, "*", D13*100/D7))</f>
        <v>10.272225062833893</v>
      </c>
      <c r="F13" s="31">
        <v>272861.87</v>
      </c>
      <c r="G13" s="32">
        <f>IF(F7="", "", IF(F7&lt;=0, "*", F13*100/F7))</f>
        <v>9.7025652875564656</v>
      </c>
      <c r="H13" s="31">
        <v>275342.43</v>
      </c>
      <c r="I13" s="32">
        <f>IF(H7="", "", IF(H7&lt;=0, "*", H13*100/H7))</f>
        <v>9.4692443556043155</v>
      </c>
      <c r="J13" s="31">
        <v>268020.34000000003</v>
      </c>
      <c r="K13" s="32">
        <f>IF(J7="", "", IF(J7&lt;=0, "*", J13*100/J7))</f>
        <v>9.3891569114599154</v>
      </c>
    </row>
    <row r="14" spans="1:11" ht="12" customHeight="1">
      <c r="A14" s="76" t="s">
        <v>54</v>
      </c>
      <c r="B14" s="29"/>
      <c r="C14" s="22"/>
      <c r="D14" s="29"/>
      <c r="E14" s="22"/>
      <c r="F14" s="29"/>
      <c r="G14" s="22"/>
      <c r="H14" s="29"/>
      <c r="I14" s="22"/>
      <c r="J14" s="29"/>
      <c r="K14" s="22"/>
    </row>
    <row r="15" spans="1:11" ht="12" customHeight="1">
      <c r="A15" s="76"/>
      <c r="B15" s="31">
        <v>96195.3</v>
      </c>
      <c r="C15" s="32">
        <f>IF(B7="", "", IF(B7&lt;=0, "*", B15*100/B7))</f>
        <v>3.7363046044921546</v>
      </c>
      <c r="D15" s="31">
        <v>109407.12</v>
      </c>
      <c r="E15" s="32">
        <f>IF(D7="", "", IF(D7&lt;=0, "*", D15*100/D7))</f>
        <v>3.9900546737219131</v>
      </c>
      <c r="F15" s="31">
        <v>93894.05</v>
      </c>
      <c r="G15" s="32">
        <f>IF(F7="", "", IF(F7&lt;=0, "*", F15*100/F7))</f>
        <v>3.3387338078350455</v>
      </c>
      <c r="H15" s="31">
        <v>125997.71</v>
      </c>
      <c r="I15" s="32">
        <f>IF(H7="", "", IF(H7&lt;=0, "*", H15*100/H7))</f>
        <v>4.3331610904885576</v>
      </c>
      <c r="J15" s="31">
        <v>110556.62</v>
      </c>
      <c r="K15" s="32">
        <f>IF(J7="", "", IF(J7&lt;=0, "*", J15*100/J7))</f>
        <v>3.872965211448681</v>
      </c>
    </row>
    <row r="16" spans="1:11" ht="12" customHeight="1">
      <c r="A16" s="8"/>
      <c r="B16" s="31"/>
      <c r="C16" s="32"/>
      <c r="D16" s="31"/>
      <c r="E16" s="32"/>
      <c r="F16" s="31"/>
      <c r="G16" s="32"/>
      <c r="H16" s="31"/>
      <c r="I16" s="32"/>
      <c r="J16" s="31"/>
      <c r="K16" s="32"/>
    </row>
    <row r="17" spans="1:11" ht="12" customHeight="1" thickBot="1">
      <c r="A17" s="8" t="s">
        <v>55</v>
      </c>
      <c r="B17" s="31">
        <v>265240.76</v>
      </c>
      <c r="C17" s="32">
        <f>IF(B7="", "", IF(B7&lt;=0, "*", B17*100/B7))</f>
        <v>10.302169366767384</v>
      </c>
      <c r="D17" s="31">
        <v>339378.14</v>
      </c>
      <c r="E17" s="32">
        <f>IF(D7="", "", IF(D7&lt;=0, "*", D17*100/D7))</f>
        <v>12.377049443089716</v>
      </c>
      <c r="F17" s="31">
        <v>366836.16</v>
      </c>
      <c r="G17" s="32">
        <v>13.1</v>
      </c>
      <c r="H17" s="31">
        <v>396379.4</v>
      </c>
      <c r="I17" s="32">
        <f>IF(H7="", "", IF(H7&lt;=0, "*", H17*100/H7))</f>
        <v>13.631801666484257</v>
      </c>
      <c r="J17" s="31">
        <v>399553.86</v>
      </c>
      <c r="K17" s="32">
        <f>IF(J7="", "", IF(J7&lt;=0, "*", J17*100/J7))</f>
        <v>13.996974580807885</v>
      </c>
    </row>
    <row r="18" spans="1:11" ht="12" customHeight="1">
      <c r="A18" s="37"/>
      <c r="B18" s="38"/>
      <c r="C18" s="39"/>
      <c r="D18" s="38"/>
      <c r="E18" s="39"/>
      <c r="F18" s="38"/>
      <c r="G18" s="39"/>
      <c r="H18" s="38"/>
      <c r="I18" s="39"/>
      <c r="J18" s="38"/>
      <c r="K18" s="39"/>
    </row>
    <row r="19" spans="1:11" ht="12" customHeight="1">
      <c r="A19" s="8" t="s">
        <v>56</v>
      </c>
      <c r="B19" s="40">
        <v>19.290189000000002</v>
      </c>
      <c r="C19" s="41"/>
      <c r="D19" s="40">
        <v>19.304988999999999</v>
      </c>
      <c r="E19" s="41"/>
      <c r="F19" s="40">
        <v>18.647480999999999</v>
      </c>
      <c r="G19" s="41"/>
      <c r="H19" s="40">
        <v>18.562909000000001</v>
      </c>
      <c r="I19" s="41"/>
      <c r="J19" s="40">
        <v>18.064959000000002</v>
      </c>
      <c r="K19" s="41"/>
    </row>
    <row r="20" spans="1:11" ht="12" customHeight="1">
      <c r="A20" s="36"/>
      <c r="B20" s="42"/>
      <c r="C20" s="43"/>
      <c r="D20" s="42"/>
      <c r="E20" s="43"/>
      <c r="F20" s="42"/>
      <c r="G20" s="43"/>
      <c r="H20" s="42"/>
      <c r="I20" s="43"/>
      <c r="J20" s="42"/>
      <c r="K20" s="43"/>
    </row>
    <row r="21" spans="1:11" ht="12" customHeight="1" thickBot="1">
      <c r="A21" s="44" t="s">
        <v>57</v>
      </c>
      <c r="B21" s="45">
        <v>702.93048099999999</v>
      </c>
      <c r="C21" s="46"/>
      <c r="D21" s="45">
        <v>694.02912000000003</v>
      </c>
      <c r="E21" s="46"/>
      <c r="F21" s="45">
        <v>676.27779399999997</v>
      </c>
      <c r="G21" s="46"/>
      <c r="H21" s="45">
        <v>694.16393100000005</v>
      </c>
      <c r="I21" s="46"/>
      <c r="J21" s="45">
        <v>698.28262600000005</v>
      </c>
      <c r="K21" s="46"/>
    </row>
    <row r="22" spans="1:11" ht="11.9" customHeight="1">
      <c r="A22" s="15"/>
      <c r="B22" s="24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 t="s">
        <v>58</v>
      </c>
      <c r="B23" s="24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 t="s">
        <v>59</v>
      </c>
      <c r="B24" s="24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 t="s">
        <v>60</v>
      </c>
      <c r="B25" s="24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47" t="s">
        <v>61</v>
      </c>
      <c r="B26" s="16"/>
      <c r="C26" s="48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47" t="s">
        <v>62</v>
      </c>
      <c r="B27" s="16"/>
      <c r="C27" s="48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47" t="s">
        <v>63</v>
      </c>
      <c r="B28" s="16"/>
      <c r="C28" s="16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47"/>
      <c r="B29" s="16"/>
      <c r="C29" s="16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 t="s">
        <v>64</v>
      </c>
      <c r="B30" s="24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88" t="s">
        <v>65</v>
      </c>
      <c r="B31" s="49" t="s">
        <v>66</v>
      </c>
      <c r="C31" s="92" t="s">
        <v>67</v>
      </c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88"/>
      <c r="B32" s="16" t="s">
        <v>68</v>
      </c>
      <c r="C32" s="92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88" t="s">
        <v>69</v>
      </c>
      <c r="B33" s="89" t="s">
        <v>70</v>
      </c>
      <c r="C33" s="89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88"/>
      <c r="B34" s="90" t="s">
        <v>71</v>
      </c>
      <c r="C34" s="90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47"/>
      <c r="B36" s="16"/>
      <c r="C36" s="48"/>
      <c r="D36" s="16"/>
      <c r="E36" s="17"/>
      <c r="F36" s="16"/>
      <c r="G36" s="17"/>
      <c r="H36" s="16"/>
      <c r="I36" s="17"/>
      <c r="J36" s="16"/>
      <c r="K36" s="17"/>
    </row>
    <row r="37" spans="1:11" ht="11.9" customHeight="1">
      <c r="A37" s="47"/>
      <c r="B37" s="16"/>
      <c r="C37" s="16"/>
      <c r="D37" s="16"/>
      <c r="E37" s="17"/>
      <c r="F37" s="16"/>
    </row>
    <row r="38" spans="1:11" ht="11.9" customHeight="1">
      <c r="A38" s="47"/>
      <c r="B38" s="16"/>
      <c r="C38" s="16"/>
      <c r="D38" s="16"/>
      <c r="E38" s="17"/>
      <c r="F38" s="16"/>
    </row>
    <row r="39" spans="1:11" ht="11.9" customHeight="1">
      <c r="A39" s="15"/>
      <c r="B39" s="16"/>
      <c r="C39" s="17"/>
      <c r="D39" s="16"/>
      <c r="E39" s="17"/>
      <c r="F39" s="16"/>
    </row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15">
    <mergeCell ref="A33:A34"/>
    <mergeCell ref="B33:C33"/>
    <mergeCell ref="B34:C34"/>
    <mergeCell ref="A12:A13"/>
    <mergeCell ref="A14:A15"/>
    <mergeCell ref="A31:A32"/>
    <mergeCell ref="C31:C32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5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C359-F0EE-46A1-8C87-510B7196D5EF}">
  <dimension ref="A1:K144"/>
  <sheetViews>
    <sheetView zoomScaleNormal="100" zoomScaleSheetLayoutView="100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8.08984375" style="2" customWidth="1"/>
    <col min="4" max="4" width="15.6328125" style="2" customWidth="1"/>
    <col min="5" max="5" width="8.08984375" style="2" customWidth="1"/>
    <col min="6" max="6" width="15.6328125" style="2" customWidth="1"/>
    <col min="7" max="7" width="8.08984375" style="2" customWidth="1"/>
    <col min="8" max="8" width="15.6328125" style="2" customWidth="1"/>
    <col min="9" max="9" width="8.08984375" style="2" customWidth="1"/>
    <col min="10" max="10" width="15.6328125" style="2" customWidth="1"/>
    <col min="11" max="11" width="8.08984375" style="2" customWidth="1"/>
    <col min="12" max="16384" width="9" style="2"/>
  </cols>
  <sheetData>
    <row r="1" spans="1:11" ht="19">
      <c r="B1" s="1" t="s">
        <v>72</v>
      </c>
    </row>
    <row r="3" spans="1:11" ht="11.5" thickBot="1">
      <c r="K3" s="3" t="s">
        <v>39</v>
      </c>
    </row>
    <row r="4" spans="1:11" ht="12" customHeight="1" thickBot="1">
      <c r="A4" s="77" t="s">
        <v>40</v>
      </c>
      <c r="B4" s="73">
        <v>2003</v>
      </c>
      <c r="C4" s="73"/>
      <c r="D4" s="73">
        <v>2004</v>
      </c>
      <c r="E4" s="73"/>
      <c r="F4" s="73">
        <v>2005</v>
      </c>
      <c r="G4" s="73"/>
      <c r="H4" s="73">
        <v>2006</v>
      </c>
      <c r="I4" s="73"/>
      <c r="J4" s="73">
        <v>2007</v>
      </c>
      <c r="K4" s="73"/>
    </row>
    <row r="5" spans="1:11" ht="25" customHeight="1" thickBot="1">
      <c r="A5" s="78"/>
      <c r="B5" s="4"/>
      <c r="C5" s="5" t="s">
        <v>73</v>
      </c>
      <c r="D5" s="4"/>
      <c r="E5" s="5" t="s">
        <v>73</v>
      </c>
      <c r="F5" s="4"/>
      <c r="G5" s="5" t="s">
        <v>73</v>
      </c>
      <c r="H5" s="4"/>
      <c r="I5" s="5" t="s">
        <v>73</v>
      </c>
      <c r="J5" s="4"/>
      <c r="K5" s="5" t="s">
        <v>73</v>
      </c>
    </row>
    <row r="6" spans="1:11" ht="12" customHeight="1">
      <c r="A6" s="75" t="s">
        <v>74</v>
      </c>
      <c r="B6" s="9">
        <v>325610.23999999999</v>
      </c>
      <c r="C6" s="10">
        <v>8.6778503649855505</v>
      </c>
      <c r="D6" s="9">
        <v>401840.75</v>
      </c>
      <c r="E6" s="10">
        <v>23.411582510427099</v>
      </c>
      <c r="F6" s="9">
        <v>386095.42</v>
      </c>
      <c r="G6" s="10">
        <v>-3.9183009687295201</v>
      </c>
      <c r="H6" s="9">
        <v>441364.99</v>
      </c>
      <c r="I6" s="10">
        <v>14.3150027524284</v>
      </c>
      <c r="J6" s="9">
        <v>445809.88</v>
      </c>
      <c r="K6" s="10">
        <v>1.00707806480074</v>
      </c>
    </row>
    <row r="7" spans="1:11" ht="12" customHeight="1">
      <c r="A7" s="76"/>
      <c r="B7" s="9">
        <v>316319.15999999997</v>
      </c>
      <c r="C7" s="10">
        <v>6.333367</v>
      </c>
      <c r="D7" s="9">
        <v>400721.93</v>
      </c>
      <c r="E7" s="10">
        <v>26.682787999999999</v>
      </c>
      <c r="F7" s="9">
        <v>385500.82</v>
      </c>
      <c r="G7" s="10">
        <v>-3.798422</v>
      </c>
      <c r="H7" s="9">
        <v>437620.43</v>
      </c>
      <c r="I7" s="10">
        <v>13.519973999999999</v>
      </c>
      <c r="J7" s="9">
        <v>443062.43</v>
      </c>
      <c r="K7" s="10">
        <v>1.2435430000000001</v>
      </c>
    </row>
    <row r="8" spans="1:11" ht="12" customHeight="1">
      <c r="A8" s="76" t="s">
        <v>75</v>
      </c>
      <c r="B8" s="9">
        <v>98796.67</v>
      </c>
      <c r="C8" s="10">
        <v>7.5637034299062202</v>
      </c>
      <c r="D8" s="9">
        <v>130849.35</v>
      </c>
      <c r="E8" s="10">
        <v>32.4430772818557</v>
      </c>
      <c r="F8" s="9">
        <v>143872.28</v>
      </c>
      <c r="G8" s="10">
        <v>9.9526134443923393</v>
      </c>
      <c r="H8" s="9">
        <v>157684.43</v>
      </c>
      <c r="I8" s="10">
        <v>9.6002857534474302</v>
      </c>
      <c r="J8" s="9">
        <v>176378.28</v>
      </c>
      <c r="K8" s="10">
        <v>11.8552288263337</v>
      </c>
    </row>
    <row r="9" spans="1:11" ht="12" customHeight="1">
      <c r="A9" s="76"/>
      <c r="B9" s="9">
        <v>96835.04</v>
      </c>
      <c r="C9" s="10">
        <v>7.1307559999999999</v>
      </c>
      <c r="D9" s="9">
        <v>129818.73</v>
      </c>
      <c r="E9" s="10">
        <v>34.061729999999997</v>
      </c>
      <c r="F9" s="9">
        <v>143434.16</v>
      </c>
      <c r="G9" s="10">
        <v>10.488032</v>
      </c>
      <c r="H9" s="9">
        <v>157485.20000000001</v>
      </c>
      <c r="I9" s="10">
        <v>9.7961600000000004</v>
      </c>
      <c r="J9" s="9">
        <v>174900.82</v>
      </c>
      <c r="K9" s="10">
        <v>11.058576</v>
      </c>
    </row>
    <row r="10" spans="1:11" ht="12" customHeight="1">
      <c r="A10" s="76" t="s">
        <v>76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76"/>
      <c r="B11" s="9">
        <v>6197</v>
      </c>
      <c r="C11" s="10">
        <v>-30.7</v>
      </c>
      <c r="D11" s="9">
        <v>9409</v>
      </c>
      <c r="E11" s="10">
        <v>51.7</v>
      </c>
      <c r="F11" s="9">
        <v>12511</v>
      </c>
      <c r="G11" s="10">
        <v>33</v>
      </c>
      <c r="H11" s="9">
        <v>14428</v>
      </c>
      <c r="I11" s="10">
        <v>15.3</v>
      </c>
      <c r="J11" s="9">
        <v>10058</v>
      </c>
      <c r="K11" s="10">
        <v>-30.3</v>
      </c>
    </row>
    <row r="12" spans="1:11" ht="12" customHeight="1">
      <c r="A12" s="76" t="s">
        <v>77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76"/>
      <c r="B13" s="9">
        <v>10010</v>
      </c>
      <c r="C13" s="10">
        <v>-22.5</v>
      </c>
      <c r="D13" s="9">
        <v>13713</v>
      </c>
      <c r="E13" s="10">
        <v>37</v>
      </c>
      <c r="F13" s="9">
        <v>13193</v>
      </c>
      <c r="G13" s="10">
        <v>-3.8</v>
      </c>
      <c r="H13" s="9">
        <v>13563</v>
      </c>
      <c r="I13" s="10">
        <v>2.8</v>
      </c>
      <c r="J13" s="9">
        <v>19223</v>
      </c>
      <c r="K13" s="10">
        <v>41.7</v>
      </c>
    </row>
    <row r="14" spans="1:11" ht="12" customHeight="1">
      <c r="A14" s="76" t="s">
        <v>78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ht="12" customHeight="1">
      <c r="A15" s="76"/>
      <c r="B15" s="9">
        <v>1341</v>
      </c>
      <c r="C15" s="10">
        <v>-49.6</v>
      </c>
      <c r="D15" s="9">
        <v>2796</v>
      </c>
      <c r="E15" s="10">
        <v>108.4</v>
      </c>
      <c r="F15" s="9">
        <v>1678</v>
      </c>
      <c r="G15" s="10">
        <v>-40</v>
      </c>
      <c r="H15" s="9">
        <v>2806</v>
      </c>
      <c r="I15" s="10">
        <v>67.3</v>
      </c>
      <c r="J15" s="9">
        <v>2784</v>
      </c>
      <c r="K15" s="10">
        <v>-0.8</v>
      </c>
    </row>
    <row r="16" spans="1:11" ht="12" customHeight="1">
      <c r="A16" s="76" t="s">
        <v>79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ht="12" customHeight="1">
      <c r="A17" s="76"/>
      <c r="B17" s="9">
        <v>2811</v>
      </c>
      <c r="C17" s="10">
        <v>-24.3</v>
      </c>
      <c r="D17" s="9">
        <v>5181</v>
      </c>
      <c r="E17" s="10">
        <v>84.3</v>
      </c>
      <c r="F17" s="9">
        <v>6344</v>
      </c>
      <c r="G17" s="10">
        <v>22.4</v>
      </c>
      <c r="H17" s="9">
        <v>9378</v>
      </c>
      <c r="I17" s="10">
        <v>47.8</v>
      </c>
      <c r="J17" s="9">
        <v>11291</v>
      </c>
      <c r="K17" s="10">
        <v>20.399999999999999</v>
      </c>
    </row>
    <row r="18" spans="1:11" ht="12" customHeight="1">
      <c r="A18" s="76" t="s">
        <v>80</v>
      </c>
      <c r="B18" s="9"/>
      <c r="C18" s="10"/>
      <c r="D18" s="9"/>
      <c r="E18" s="10"/>
      <c r="F18" s="9"/>
      <c r="G18" s="10"/>
      <c r="H18" s="9"/>
      <c r="I18" s="10"/>
      <c r="J18" s="9"/>
      <c r="K18" s="10"/>
    </row>
    <row r="19" spans="1:11" ht="12" customHeight="1">
      <c r="A19" s="76"/>
      <c r="B19" s="9">
        <v>3856</v>
      </c>
      <c r="C19" s="10">
        <v>9.6</v>
      </c>
      <c r="D19" s="9">
        <v>7841</v>
      </c>
      <c r="E19" s="10">
        <v>103.3</v>
      </c>
      <c r="F19" s="9">
        <v>5873</v>
      </c>
      <c r="G19" s="10">
        <v>-25.1</v>
      </c>
      <c r="H19" s="9">
        <v>6546</v>
      </c>
      <c r="I19" s="10">
        <v>11.5</v>
      </c>
      <c r="J19" s="9">
        <v>6767</v>
      </c>
      <c r="K19" s="10">
        <v>3.4</v>
      </c>
    </row>
    <row r="20" spans="1:11" ht="12" customHeight="1">
      <c r="A20" s="76" t="s">
        <v>81</v>
      </c>
      <c r="B20" s="9"/>
      <c r="C20" s="10"/>
      <c r="D20" s="9"/>
      <c r="E20" s="10"/>
      <c r="F20" s="9"/>
      <c r="G20" s="10"/>
      <c r="H20" s="9"/>
      <c r="I20" s="10"/>
      <c r="J20" s="9"/>
      <c r="K20" s="10"/>
    </row>
    <row r="21" spans="1:11" ht="12" customHeight="1">
      <c r="A21" s="76"/>
      <c r="B21" s="9">
        <v>10252</v>
      </c>
      <c r="C21" s="10">
        <v>104.7</v>
      </c>
      <c r="D21" s="9">
        <v>7578</v>
      </c>
      <c r="E21" s="10">
        <v>-26.1</v>
      </c>
      <c r="F21" s="9">
        <v>12616</v>
      </c>
      <c r="G21" s="10">
        <v>66.5</v>
      </c>
      <c r="H21" s="9">
        <v>13489</v>
      </c>
      <c r="I21" s="10">
        <v>6.9</v>
      </c>
      <c r="J21" s="9">
        <v>15831</v>
      </c>
      <c r="K21" s="10">
        <v>17.399999999999999</v>
      </c>
    </row>
    <row r="22" spans="1:11" ht="12" customHeight="1">
      <c r="A22" s="76" t="s">
        <v>167</v>
      </c>
      <c r="B22" s="9"/>
      <c r="C22" s="10"/>
      <c r="D22" s="9"/>
      <c r="E22" s="10"/>
      <c r="F22" s="9"/>
      <c r="G22" s="10"/>
      <c r="H22" s="9"/>
      <c r="I22" s="10"/>
      <c r="J22" s="9"/>
      <c r="K22" s="10"/>
    </row>
    <row r="23" spans="1:11" ht="12" customHeight="1">
      <c r="A23" s="76"/>
      <c r="B23" s="9"/>
      <c r="C23" s="10"/>
      <c r="D23" s="9">
        <v>13766</v>
      </c>
      <c r="E23" s="10"/>
      <c r="F23" s="9">
        <v>13010</v>
      </c>
      <c r="G23" s="10">
        <v>-5.5</v>
      </c>
      <c r="H23" s="9">
        <v>15868</v>
      </c>
      <c r="I23" s="10">
        <v>22</v>
      </c>
      <c r="J23" s="9">
        <v>16716</v>
      </c>
      <c r="K23" s="10">
        <v>5.3</v>
      </c>
    </row>
    <row r="24" spans="1:11" ht="12" customHeight="1">
      <c r="A24" s="76" t="s">
        <v>168</v>
      </c>
      <c r="B24" s="9">
        <v>17680</v>
      </c>
      <c r="C24" s="10">
        <v>19.8</v>
      </c>
      <c r="D24" s="9"/>
      <c r="E24" s="10"/>
      <c r="F24" s="9"/>
      <c r="G24" s="10"/>
      <c r="H24" s="9"/>
      <c r="I24" s="10"/>
      <c r="J24" s="9"/>
      <c r="K24" s="10"/>
    </row>
    <row r="25" spans="1:11" ht="12" customHeight="1">
      <c r="A25" s="76"/>
      <c r="B25" s="9"/>
      <c r="C25" s="10"/>
      <c r="D25" s="9">
        <v>16441</v>
      </c>
      <c r="E25" s="10"/>
      <c r="F25" s="9">
        <v>14293</v>
      </c>
      <c r="G25" s="10">
        <v>-13.1</v>
      </c>
      <c r="H25" s="9">
        <v>17784</v>
      </c>
      <c r="I25" s="10">
        <v>24.4</v>
      </c>
      <c r="J25" s="9">
        <v>15173</v>
      </c>
      <c r="K25" s="10">
        <v>-14.7</v>
      </c>
    </row>
    <row r="26" spans="1:11" ht="12" customHeight="1">
      <c r="A26" s="82" t="s">
        <v>199</v>
      </c>
      <c r="B26" s="9"/>
      <c r="C26" s="10"/>
      <c r="D26" s="9"/>
      <c r="E26" s="10"/>
      <c r="F26" s="9"/>
      <c r="G26" s="10"/>
      <c r="H26" s="9"/>
      <c r="I26" s="10"/>
      <c r="J26" s="9"/>
      <c r="K26" s="10"/>
    </row>
    <row r="27" spans="1:11" ht="12" customHeight="1">
      <c r="A27" s="82"/>
      <c r="B27" s="9"/>
      <c r="C27" s="10"/>
      <c r="D27" s="31" t="s">
        <v>243</v>
      </c>
      <c r="E27" s="31" t="s">
        <v>244</v>
      </c>
      <c r="F27" s="31" t="s">
        <v>245</v>
      </c>
      <c r="G27" s="31" t="s">
        <v>246</v>
      </c>
      <c r="H27" s="31" t="s">
        <v>247</v>
      </c>
      <c r="I27" s="31" t="s">
        <v>248</v>
      </c>
      <c r="J27" s="31" t="s">
        <v>249</v>
      </c>
      <c r="K27" s="31" t="s">
        <v>250</v>
      </c>
    </row>
    <row r="28" spans="1:11" ht="12" customHeight="1">
      <c r="A28" s="76" t="s">
        <v>82</v>
      </c>
      <c r="B28" s="9"/>
      <c r="C28" s="10"/>
      <c r="D28" s="9"/>
      <c r="E28" s="10"/>
      <c r="F28" s="9"/>
      <c r="G28" s="10"/>
      <c r="H28" s="9"/>
      <c r="I28" s="10"/>
      <c r="J28" s="9"/>
      <c r="K28" s="10"/>
    </row>
    <row r="29" spans="1:11" ht="12" customHeight="1">
      <c r="A29" s="76"/>
      <c r="B29" s="9">
        <v>19383</v>
      </c>
      <c r="C29" s="10">
        <v>19.7</v>
      </c>
      <c r="D29" s="9">
        <v>21243</v>
      </c>
      <c r="E29" s="10">
        <v>9.6</v>
      </c>
      <c r="F29" s="9">
        <v>26209</v>
      </c>
      <c r="G29" s="10">
        <v>23.4</v>
      </c>
      <c r="H29" s="9">
        <v>25630</v>
      </c>
      <c r="I29" s="10">
        <v>-2.2000000000000002</v>
      </c>
      <c r="J29" s="9">
        <v>28395</v>
      </c>
      <c r="K29" s="10">
        <v>10.8</v>
      </c>
    </row>
    <row r="30" spans="1:11" ht="12" customHeight="1">
      <c r="A30" s="76" t="s">
        <v>83</v>
      </c>
      <c r="B30" s="9">
        <v>226814</v>
      </c>
      <c r="C30" s="10">
        <v>9.1999999999999993</v>
      </c>
      <c r="D30" s="9">
        <v>270991</v>
      </c>
      <c r="E30" s="10">
        <v>19.5</v>
      </c>
      <c r="F30" s="9">
        <v>242223</v>
      </c>
      <c r="G30" s="10">
        <v>-10.6</v>
      </c>
      <c r="H30" s="9">
        <v>283681</v>
      </c>
      <c r="I30" s="10">
        <v>17.100000000000001</v>
      </c>
      <c r="J30" s="9">
        <v>269432</v>
      </c>
      <c r="K30" s="10">
        <v>-5</v>
      </c>
    </row>
    <row r="31" spans="1:11" ht="12" customHeight="1">
      <c r="A31" s="76"/>
      <c r="B31" s="9">
        <v>219484</v>
      </c>
      <c r="C31" s="10">
        <v>6</v>
      </c>
      <c r="D31" s="9">
        <v>270903</v>
      </c>
      <c r="E31" s="10">
        <v>23.427244000000002</v>
      </c>
      <c r="F31" s="9">
        <v>242067</v>
      </c>
      <c r="G31" s="10">
        <v>-10.6</v>
      </c>
      <c r="H31" s="9">
        <v>280135</v>
      </c>
      <c r="I31" s="10">
        <v>15.7</v>
      </c>
      <c r="J31" s="9">
        <v>268162</v>
      </c>
      <c r="K31" s="10">
        <v>-4.3</v>
      </c>
    </row>
    <row r="32" spans="1:11" ht="12" customHeight="1">
      <c r="A32" s="76" t="s">
        <v>84</v>
      </c>
      <c r="B32" s="9"/>
      <c r="C32" s="10"/>
      <c r="D32" s="9"/>
      <c r="E32" s="10"/>
      <c r="F32" s="9"/>
      <c r="G32" s="10"/>
      <c r="H32" s="9"/>
      <c r="I32" s="10"/>
      <c r="J32" s="9"/>
      <c r="K32" s="10"/>
    </row>
    <row r="33" spans="1:11" ht="12" customHeight="1">
      <c r="A33" s="76"/>
      <c r="B33" s="9">
        <v>9747</v>
      </c>
      <c r="C33" s="10">
        <v>5.9</v>
      </c>
      <c r="D33" s="9">
        <v>11167</v>
      </c>
      <c r="E33" s="10">
        <v>14.6</v>
      </c>
      <c r="F33" s="9">
        <v>14885</v>
      </c>
      <c r="G33" s="10">
        <v>33.299999999999997</v>
      </c>
      <c r="H33" s="9">
        <v>12848</v>
      </c>
      <c r="I33" s="10">
        <v>-13.7</v>
      </c>
      <c r="J33" s="9">
        <v>9379</v>
      </c>
      <c r="K33" s="10">
        <v>-27</v>
      </c>
    </row>
    <row r="34" spans="1:11" ht="12" customHeight="1">
      <c r="A34" s="76" t="s">
        <v>85</v>
      </c>
      <c r="B34" s="9"/>
      <c r="C34" s="10"/>
      <c r="D34" s="9"/>
      <c r="E34" s="10"/>
      <c r="F34" s="9"/>
      <c r="G34" s="10"/>
      <c r="H34" s="9"/>
      <c r="I34" s="10"/>
      <c r="J34" s="9"/>
      <c r="K34" s="10"/>
    </row>
    <row r="35" spans="1:11" ht="12" customHeight="1">
      <c r="A35" s="76"/>
      <c r="B35" s="9">
        <v>56141</v>
      </c>
      <c r="C35" s="10">
        <v>69.5</v>
      </c>
      <c r="D35" s="9">
        <v>36973</v>
      </c>
      <c r="E35" s="10"/>
      <c r="F35" s="9">
        <v>34132</v>
      </c>
      <c r="G35" s="10">
        <v>-7.7</v>
      </c>
      <c r="H35" s="9">
        <v>31642</v>
      </c>
      <c r="I35" s="10">
        <v>-7.3</v>
      </c>
      <c r="J35" s="9">
        <v>37567</v>
      </c>
      <c r="K35" s="10">
        <v>18.7</v>
      </c>
    </row>
    <row r="36" spans="1:11" ht="12" customHeight="1">
      <c r="A36" s="82" t="s">
        <v>177</v>
      </c>
      <c r="B36" s="9"/>
      <c r="C36" s="10"/>
      <c r="D36" s="9"/>
      <c r="E36" s="10"/>
      <c r="F36" s="9"/>
      <c r="G36" s="10"/>
      <c r="H36" s="9"/>
      <c r="I36" s="10"/>
      <c r="J36" s="9"/>
      <c r="K36" s="10"/>
    </row>
    <row r="37" spans="1:11" ht="12" customHeight="1">
      <c r="A37" s="82"/>
      <c r="B37" s="9"/>
      <c r="C37" s="10"/>
      <c r="D37" s="31" t="s">
        <v>251</v>
      </c>
      <c r="E37" s="22" t="s">
        <v>252</v>
      </c>
      <c r="F37" s="31" t="s">
        <v>253</v>
      </c>
      <c r="G37" s="22" t="s">
        <v>254</v>
      </c>
      <c r="H37" s="31" t="s">
        <v>255</v>
      </c>
      <c r="I37" s="22" t="s">
        <v>256</v>
      </c>
      <c r="J37" s="31" t="s">
        <v>257</v>
      </c>
      <c r="K37" s="22" t="s">
        <v>258</v>
      </c>
    </row>
    <row r="38" spans="1:11" ht="12" customHeight="1">
      <c r="A38" s="76" t="s">
        <v>86</v>
      </c>
      <c r="B38" s="9"/>
      <c r="C38" s="10"/>
      <c r="D38" s="9"/>
      <c r="E38" s="10"/>
      <c r="F38" s="9"/>
      <c r="G38" s="10"/>
      <c r="H38" s="9"/>
      <c r="I38" s="10"/>
      <c r="J38" s="9"/>
      <c r="K38" s="10"/>
    </row>
    <row r="39" spans="1:11" ht="12" customHeight="1">
      <c r="A39" s="76"/>
      <c r="B39" s="9">
        <v>22824</v>
      </c>
      <c r="C39" s="10">
        <v>75.7</v>
      </c>
      <c r="D39" s="9">
        <v>17436</v>
      </c>
      <c r="E39" s="10">
        <v>-23.6</v>
      </c>
      <c r="F39" s="9">
        <v>13657</v>
      </c>
      <c r="G39" s="10">
        <v>-21.7</v>
      </c>
      <c r="H39" s="9">
        <v>18381</v>
      </c>
      <c r="I39" s="10">
        <v>34.6</v>
      </c>
      <c r="J39" s="9">
        <v>21821</v>
      </c>
      <c r="K39" s="10">
        <v>18.7</v>
      </c>
    </row>
    <row r="40" spans="1:11" ht="12" customHeight="1">
      <c r="A40" s="76" t="s">
        <v>227</v>
      </c>
      <c r="B40" s="9"/>
      <c r="C40" s="10"/>
      <c r="D40" s="9"/>
      <c r="E40" s="10"/>
      <c r="F40" s="9"/>
      <c r="G40" s="10"/>
      <c r="H40" s="9"/>
      <c r="I40" s="10"/>
      <c r="J40" s="9"/>
      <c r="K40" s="10"/>
    </row>
    <row r="41" spans="1:11" ht="12" customHeight="1">
      <c r="A41" s="76"/>
      <c r="B41" s="9"/>
      <c r="C41" s="10"/>
      <c r="D41" s="9">
        <v>35975</v>
      </c>
      <c r="E41" s="10"/>
      <c r="F41" s="9">
        <v>38539</v>
      </c>
      <c r="G41" s="10">
        <v>7.1</v>
      </c>
      <c r="H41" s="9">
        <v>46844</v>
      </c>
      <c r="I41" s="10">
        <v>21.5</v>
      </c>
      <c r="J41" s="9">
        <v>36188</v>
      </c>
      <c r="K41" s="10">
        <v>-22.7</v>
      </c>
    </row>
    <row r="42" spans="1:11" ht="12" customHeight="1">
      <c r="A42" s="76" t="s">
        <v>217</v>
      </c>
      <c r="B42" s="71">
        <v>19508</v>
      </c>
      <c r="C42" s="10">
        <v>-60.6</v>
      </c>
      <c r="D42" s="9"/>
      <c r="E42" s="10"/>
      <c r="F42" s="9"/>
      <c r="G42" s="10"/>
      <c r="H42" s="9"/>
      <c r="I42" s="10"/>
      <c r="J42" s="9"/>
      <c r="K42" s="10"/>
    </row>
    <row r="43" spans="1:11" ht="12" customHeight="1">
      <c r="A43" s="76"/>
      <c r="B43" s="71"/>
      <c r="C43" s="10"/>
      <c r="D43" s="9">
        <v>35251</v>
      </c>
      <c r="E43" s="10"/>
      <c r="F43" s="9">
        <v>27651</v>
      </c>
      <c r="G43" s="10">
        <v>-21.6</v>
      </c>
      <c r="H43" s="9">
        <v>40205</v>
      </c>
      <c r="I43" s="10">
        <v>45.4</v>
      </c>
      <c r="J43" s="9">
        <v>31220</v>
      </c>
      <c r="K43" s="10">
        <v>-22.3</v>
      </c>
    </row>
    <row r="44" spans="1:11" ht="12" customHeight="1">
      <c r="A44" s="82" t="s">
        <v>218</v>
      </c>
      <c r="B44" s="9"/>
      <c r="C44" s="10"/>
      <c r="D44" s="9"/>
      <c r="E44" s="10"/>
      <c r="F44" s="9"/>
      <c r="G44" s="10"/>
      <c r="H44" s="9"/>
      <c r="I44" s="10"/>
      <c r="J44" s="9"/>
      <c r="K44" s="10"/>
    </row>
    <row r="45" spans="1:11" ht="12" customHeight="1">
      <c r="A45" s="82"/>
      <c r="B45" s="9"/>
      <c r="C45" s="10"/>
      <c r="D45" s="31" t="s">
        <v>259</v>
      </c>
      <c r="E45" s="31" t="s">
        <v>260</v>
      </c>
      <c r="F45" s="31" t="s">
        <v>261</v>
      </c>
      <c r="G45" s="31" t="s">
        <v>262</v>
      </c>
      <c r="H45" s="31" t="s">
        <v>263</v>
      </c>
      <c r="I45" s="31" t="s">
        <v>264</v>
      </c>
      <c r="J45" s="31" t="s">
        <v>265</v>
      </c>
      <c r="K45" s="31" t="s">
        <v>266</v>
      </c>
    </row>
    <row r="46" spans="1:11" ht="12" customHeight="1">
      <c r="A46" s="76" t="s">
        <v>87</v>
      </c>
      <c r="B46" s="9"/>
      <c r="C46" s="10"/>
      <c r="D46" s="9"/>
      <c r="E46" s="10"/>
      <c r="F46" s="9"/>
      <c r="G46" s="10"/>
      <c r="H46" s="9"/>
      <c r="I46" s="10"/>
      <c r="J46" s="9"/>
      <c r="K46" s="10"/>
    </row>
    <row r="47" spans="1:11" ht="12" customHeight="1">
      <c r="A47" s="76"/>
      <c r="B47" s="9">
        <v>13241</v>
      </c>
      <c r="C47" s="10">
        <v>-17.899999999999999</v>
      </c>
      <c r="D47" s="9">
        <v>11222</v>
      </c>
      <c r="E47" s="10">
        <v>-15.2</v>
      </c>
      <c r="F47" s="9">
        <v>12205</v>
      </c>
      <c r="G47" s="10">
        <v>8.7995160000000006</v>
      </c>
      <c r="H47" s="9">
        <v>12897</v>
      </c>
      <c r="I47" s="10">
        <v>5.7370049999999999</v>
      </c>
      <c r="J47" s="9">
        <v>18461</v>
      </c>
      <c r="K47" s="10">
        <v>43.1</v>
      </c>
    </row>
    <row r="48" spans="1:11" ht="12" customHeight="1">
      <c r="A48" s="76" t="s">
        <v>88</v>
      </c>
      <c r="B48" s="9"/>
      <c r="C48" s="10"/>
      <c r="D48" s="9"/>
      <c r="E48" s="10"/>
      <c r="F48" s="9"/>
      <c r="G48" s="10"/>
      <c r="H48" s="9"/>
      <c r="I48" s="10"/>
      <c r="J48" s="9"/>
      <c r="K48" s="10"/>
    </row>
    <row r="49" spans="1:11" ht="12" customHeight="1">
      <c r="A49" s="76"/>
      <c r="B49" s="9">
        <v>102214</v>
      </c>
      <c r="C49" s="10">
        <v>20.399999999999999</v>
      </c>
      <c r="D49" s="9">
        <v>112632</v>
      </c>
      <c r="E49" s="10">
        <v>10.199999999999999</v>
      </c>
      <c r="F49" s="9">
        <v>89301</v>
      </c>
      <c r="G49" s="10">
        <v>-20.7</v>
      </c>
      <c r="H49" s="9">
        <v>109837</v>
      </c>
      <c r="I49" s="10">
        <v>23</v>
      </c>
      <c r="J49" s="9">
        <v>105145</v>
      </c>
      <c r="K49" s="10">
        <v>-4.3</v>
      </c>
    </row>
    <row r="50" spans="1:11" ht="12" customHeight="1" thickBot="1">
      <c r="A50" s="8"/>
      <c r="B50" s="9"/>
      <c r="C50" s="10"/>
      <c r="D50" s="9"/>
      <c r="E50" s="10"/>
      <c r="F50" s="9"/>
      <c r="G50" s="10"/>
      <c r="H50" s="9"/>
      <c r="I50" s="10"/>
      <c r="J50" s="9"/>
      <c r="K50" s="10"/>
    </row>
    <row r="51" spans="1:11" ht="12" customHeight="1">
      <c r="A51" s="75" t="s">
        <v>89</v>
      </c>
      <c r="B51" s="12"/>
      <c r="C51" s="7"/>
      <c r="D51" s="12"/>
      <c r="E51" s="7"/>
      <c r="F51" s="12"/>
      <c r="G51" s="7"/>
      <c r="H51" s="12"/>
      <c r="I51" s="7"/>
      <c r="J51" s="12"/>
      <c r="K51" s="7"/>
    </row>
    <row r="52" spans="1:11" ht="12" customHeight="1">
      <c r="A52" s="76"/>
      <c r="B52" s="9"/>
      <c r="C52" s="10"/>
      <c r="D52" s="9"/>
      <c r="E52" s="10"/>
      <c r="F52" s="9"/>
      <c r="G52" s="10"/>
      <c r="H52" s="9"/>
      <c r="I52" s="10"/>
      <c r="J52" s="9"/>
      <c r="K52" s="10"/>
    </row>
    <row r="53" spans="1:11" ht="12" customHeight="1">
      <c r="A53" s="76" t="s">
        <v>90</v>
      </c>
      <c r="B53" s="9"/>
      <c r="C53" s="10"/>
      <c r="D53" s="9"/>
      <c r="E53" s="10"/>
      <c r="F53" s="9"/>
      <c r="G53" s="10"/>
      <c r="H53" s="9"/>
      <c r="I53" s="10"/>
      <c r="J53" s="9"/>
      <c r="K53" s="10"/>
    </row>
    <row r="54" spans="1:11" ht="12" customHeight="1">
      <c r="A54" s="76"/>
      <c r="B54" s="9">
        <v>193548</v>
      </c>
      <c r="C54" s="10">
        <v>9.6</v>
      </c>
      <c r="D54" s="9">
        <v>231346</v>
      </c>
      <c r="E54" s="10">
        <v>19.5</v>
      </c>
      <c r="F54" s="9">
        <v>229319</v>
      </c>
      <c r="G54" s="10">
        <v>-0.9</v>
      </c>
      <c r="H54" s="9">
        <v>258846</v>
      </c>
      <c r="I54" s="10">
        <v>12.9</v>
      </c>
      <c r="J54" s="9">
        <v>270508</v>
      </c>
      <c r="K54" s="10">
        <v>4.5</v>
      </c>
    </row>
    <row r="55" spans="1:11" ht="12" customHeight="1">
      <c r="A55" s="76" t="s">
        <v>91</v>
      </c>
      <c r="B55" s="9"/>
      <c r="C55" s="10"/>
      <c r="D55" s="9"/>
      <c r="E55" s="10"/>
      <c r="F55" s="9"/>
      <c r="G55" s="10"/>
      <c r="H55" s="9"/>
      <c r="I55" s="10"/>
      <c r="J55" s="9"/>
      <c r="K55" s="10"/>
    </row>
    <row r="56" spans="1:11" ht="12" customHeight="1">
      <c r="A56" s="76"/>
      <c r="B56" s="9">
        <v>17713</v>
      </c>
      <c r="C56" s="10">
        <v>-57.1</v>
      </c>
      <c r="D56" s="9">
        <v>48292</v>
      </c>
      <c r="E56" s="10">
        <v>172.6</v>
      </c>
      <c r="F56" s="9">
        <v>44354</v>
      </c>
      <c r="G56" s="10">
        <v>-8.1999999999999993</v>
      </c>
      <c r="H56" s="9">
        <v>68745</v>
      </c>
      <c r="I56" s="10">
        <v>55</v>
      </c>
      <c r="J56" s="9">
        <v>56376</v>
      </c>
      <c r="K56" s="10">
        <v>-18</v>
      </c>
    </row>
    <row r="57" spans="1:11" ht="12" customHeight="1">
      <c r="A57" s="76" t="s">
        <v>92</v>
      </c>
      <c r="B57" s="9"/>
      <c r="C57" s="10"/>
      <c r="D57" s="9"/>
      <c r="E57" s="10"/>
      <c r="F57" s="9"/>
      <c r="G57" s="10"/>
      <c r="H57" s="9"/>
      <c r="I57" s="10"/>
      <c r="J57" s="9"/>
      <c r="K57" s="10"/>
    </row>
    <row r="58" spans="1:11" ht="12" customHeight="1">
      <c r="A58" s="76"/>
      <c r="B58" s="9">
        <v>93031</v>
      </c>
      <c r="C58" s="10">
        <v>39.5</v>
      </c>
      <c r="D58" s="9">
        <v>93887</v>
      </c>
      <c r="E58" s="10">
        <v>0.9</v>
      </c>
      <c r="F58" s="9">
        <v>98816</v>
      </c>
      <c r="G58" s="10">
        <v>5.2</v>
      </c>
      <c r="H58" s="9">
        <v>89028</v>
      </c>
      <c r="I58" s="10">
        <v>-9.9</v>
      </c>
      <c r="J58" s="9">
        <v>96522</v>
      </c>
      <c r="K58" s="10">
        <v>8.4</v>
      </c>
    </row>
    <row r="59" spans="1:11" ht="12" customHeight="1">
      <c r="A59" s="76" t="s">
        <v>93</v>
      </c>
      <c r="B59" s="9"/>
      <c r="C59" s="10"/>
      <c r="D59" s="9"/>
      <c r="E59" s="10"/>
      <c r="F59" s="9"/>
      <c r="G59" s="10"/>
      <c r="H59" s="9"/>
      <c r="I59" s="10"/>
      <c r="J59" s="9"/>
      <c r="K59" s="10"/>
    </row>
    <row r="60" spans="1:11" ht="12" customHeight="1" thickBot="1">
      <c r="A60" s="80"/>
      <c r="B60" s="13">
        <v>21317</v>
      </c>
      <c r="C60" s="14">
        <v>41.5</v>
      </c>
      <c r="D60" s="13">
        <v>28315</v>
      </c>
      <c r="E60" s="14">
        <v>32.799999999999997</v>
      </c>
      <c r="F60" s="13">
        <v>13607</v>
      </c>
      <c r="G60" s="14">
        <v>-51.9</v>
      </c>
      <c r="H60" s="13">
        <v>24747</v>
      </c>
      <c r="I60" s="14">
        <v>81.900000000000006</v>
      </c>
      <c r="J60" s="13">
        <v>22404</v>
      </c>
      <c r="K60" s="14">
        <v>-9.5</v>
      </c>
    </row>
    <row r="61" spans="1:11" ht="7.5" customHeight="1">
      <c r="A61" s="15"/>
      <c r="B61" s="16"/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15" t="s">
        <v>94</v>
      </c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 t="s">
        <v>95</v>
      </c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 t="s">
        <v>96</v>
      </c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33">
    <mergeCell ref="A57:A58"/>
    <mergeCell ref="A38:A39"/>
    <mergeCell ref="A40:A41"/>
    <mergeCell ref="A42:A43"/>
    <mergeCell ref="A46:A47"/>
    <mergeCell ref="A26:A27"/>
    <mergeCell ref="A28:A29"/>
    <mergeCell ref="A30:A31"/>
    <mergeCell ref="A59:A60"/>
    <mergeCell ref="A48:A49"/>
    <mergeCell ref="A51:A52"/>
    <mergeCell ref="A53:A54"/>
    <mergeCell ref="A55:A56"/>
    <mergeCell ref="A44:A45"/>
    <mergeCell ref="A36:A37"/>
    <mergeCell ref="A10:A11"/>
    <mergeCell ref="A12:A13"/>
    <mergeCell ref="A14:A15"/>
    <mergeCell ref="A16:A17"/>
    <mergeCell ref="A32:A33"/>
    <mergeCell ref="A34:A35"/>
    <mergeCell ref="A18:A19"/>
    <mergeCell ref="A20:A21"/>
    <mergeCell ref="A22:A23"/>
    <mergeCell ref="A24:A25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2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19C4-7484-4F97-A30E-BA1242187E8F}">
  <dimension ref="A1:K101"/>
  <sheetViews>
    <sheetView zoomScaleNormal="100" workbookViewId="0"/>
  </sheetViews>
  <sheetFormatPr defaultColWidth="9" defaultRowHeight="11"/>
  <cols>
    <col min="1" max="1" width="33" style="2" bestFit="1" customWidth="1"/>
    <col min="2" max="6" width="20.6328125" style="2" customWidth="1"/>
    <col min="7" max="16384" width="9" style="2"/>
  </cols>
  <sheetData>
    <row r="1" spans="1:6" ht="19">
      <c r="B1" s="1" t="s">
        <v>97</v>
      </c>
    </row>
    <row r="3" spans="1:6" ht="11.5" thickBot="1">
      <c r="F3" s="3" t="s">
        <v>39</v>
      </c>
    </row>
    <row r="4" spans="1:6" ht="12" customHeight="1">
      <c r="A4" s="86" t="s">
        <v>98</v>
      </c>
      <c r="B4" s="93">
        <v>2003</v>
      </c>
      <c r="C4" s="93">
        <v>2004</v>
      </c>
      <c r="D4" s="93">
        <v>2005</v>
      </c>
      <c r="E4" s="93">
        <v>2006</v>
      </c>
      <c r="F4" s="93">
        <v>2007</v>
      </c>
    </row>
    <row r="5" spans="1:6" ht="12" customHeight="1" thickBot="1">
      <c r="A5" s="87"/>
      <c r="B5" s="94"/>
      <c r="C5" s="94"/>
      <c r="D5" s="94"/>
      <c r="E5" s="94"/>
      <c r="F5" s="94"/>
    </row>
    <row r="6" spans="1:6" ht="12" customHeight="1">
      <c r="A6" s="75" t="s">
        <v>99</v>
      </c>
      <c r="B6" s="6"/>
      <c r="C6" s="6"/>
      <c r="D6" s="6"/>
      <c r="E6" s="6"/>
      <c r="F6" s="6"/>
    </row>
    <row r="7" spans="1:6" ht="12" customHeight="1">
      <c r="A7" s="76"/>
      <c r="B7" s="9">
        <v>-16243.14</v>
      </c>
      <c r="C7" s="9">
        <v>9213.6299999999992</v>
      </c>
      <c r="D7" s="9">
        <v>40872.120000000003</v>
      </c>
      <c r="E7" s="9">
        <v>60631.42</v>
      </c>
      <c r="F7" s="9">
        <v>58654.53</v>
      </c>
    </row>
    <row r="8" spans="1:6" ht="12" customHeight="1">
      <c r="A8" s="36"/>
      <c r="B8" s="9"/>
      <c r="C8" s="9"/>
      <c r="D8" s="9"/>
      <c r="E8" s="9"/>
      <c r="F8" s="9"/>
    </row>
    <row r="9" spans="1:6" ht="12" customHeight="1">
      <c r="A9" s="36" t="s">
        <v>100</v>
      </c>
      <c r="B9" s="9">
        <v>-7491.52</v>
      </c>
      <c r="C9" s="9">
        <v>4235.67</v>
      </c>
      <c r="D9" s="9">
        <v>11063.89</v>
      </c>
      <c r="E9" s="9">
        <v>32967.339999999997</v>
      </c>
      <c r="F9" s="9">
        <v>32919</v>
      </c>
    </row>
    <row r="10" spans="1:6" ht="12" customHeight="1">
      <c r="A10" s="8"/>
      <c r="B10" s="9"/>
      <c r="C10" s="9"/>
      <c r="D10" s="9"/>
      <c r="E10" s="9"/>
      <c r="F10" s="9"/>
    </row>
    <row r="11" spans="1:6" ht="12" customHeight="1">
      <c r="A11" s="8" t="s">
        <v>101</v>
      </c>
      <c r="B11" s="9">
        <v>-6614.68</v>
      </c>
      <c r="C11" s="9">
        <v>-2999.92</v>
      </c>
      <c r="D11" s="9">
        <v>14694.41</v>
      </c>
      <c r="E11" s="9">
        <v>21707.87</v>
      </c>
      <c r="F11" s="9">
        <v>11327.78</v>
      </c>
    </row>
    <row r="12" spans="1:6" ht="12" customHeight="1">
      <c r="A12" s="36"/>
      <c r="B12" s="9"/>
      <c r="C12" s="9"/>
      <c r="D12" s="9"/>
      <c r="E12" s="9"/>
      <c r="F12" s="9"/>
    </row>
    <row r="13" spans="1:6" ht="12" customHeight="1">
      <c r="A13" s="36" t="s">
        <v>102</v>
      </c>
      <c r="B13" s="9">
        <v>-2136.94</v>
      </c>
      <c r="C13" s="9">
        <v>7977.88</v>
      </c>
      <c r="D13" s="9">
        <v>15113.82</v>
      </c>
      <c r="E13" s="9">
        <v>5956.21</v>
      </c>
      <c r="F13" s="9">
        <v>14407.75</v>
      </c>
    </row>
    <row r="14" spans="1:6" ht="12" customHeight="1">
      <c r="A14" s="76" t="s">
        <v>103</v>
      </c>
      <c r="B14" s="51"/>
      <c r="C14" s="51"/>
      <c r="D14" s="51"/>
      <c r="E14" s="51"/>
      <c r="F14" s="51"/>
    </row>
    <row r="15" spans="1:6" ht="12" customHeight="1">
      <c r="A15" s="76"/>
      <c r="B15" s="9">
        <v>-4289.72</v>
      </c>
      <c r="C15" s="9">
        <v>15171.87</v>
      </c>
      <c r="D15" s="9">
        <v>21970.26</v>
      </c>
      <c r="E15" s="9">
        <v>18551.64</v>
      </c>
      <c r="F15" s="9">
        <v>25210.5</v>
      </c>
    </row>
    <row r="16" spans="1:6" ht="12" customHeight="1">
      <c r="A16" s="76" t="s">
        <v>104</v>
      </c>
      <c r="B16" s="9"/>
      <c r="C16" s="9"/>
      <c r="D16" s="9"/>
      <c r="E16" s="9"/>
      <c r="F16" s="9"/>
    </row>
    <row r="17" spans="1:11" ht="12" customHeight="1">
      <c r="A17" s="76"/>
      <c r="B17" s="9">
        <v>-210.9</v>
      </c>
      <c r="C17" s="9">
        <v>3655.15</v>
      </c>
      <c r="D17" s="9">
        <v>3974.06</v>
      </c>
      <c r="E17" s="9">
        <v>-2947.19</v>
      </c>
      <c r="F17" s="9">
        <v>4301.96</v>
      </c>
    </row>
    <row r="18" spans="1:11" s="11" customFormat="1" ht="12" customHeight="1">
      <c r="A18" s="79" t="s">
        <v>105</v>
      </c>
      <c r="B18" s="9"/>
      <c r="C18" s="9"/>
      <c r="D18" s="9"/>
      <c r="E18" s="9"/>
      <c r="F18" s="9"/>
      <c r="G18" s="52"/>
      <c r="H18" s="53"/>
      <c r="I18" s="54"/>
      <c r="J18" s="53"/>
      <c r="K18" s="54"/>
    </row>
    <row r="19" spans="1:11" s="11" customFormat="1" ht="12" customHeight="1">
      <c r="A19" s="79"/>
      <c r="B19" s="9">
        <v>-416.12</v>
      </c>
      <c r="C19" s="9">
        <v>2491.0500000000002</v>
      </c>
      <c r="D19" s="9">
        <v>2885.73</v>
      </c>
      <c r="E19" s="9">
        <v>2117.21</v>
      </c>
      <c r="F19" s="9">
        <v>3444.03</v>
      </c>
      <c r="G19" s="52"/>
      <c r="H19" s="53"/>
      <c r="I19" s="54"/>
      <c r="J19" s="53"/>
      <c r="K19" s="54"/>
    </row>
    <row r="20" spans="1:11" ht="12" customHeight="1">
      <c r="A20" s="76" t="s">
        <v>106</v>
      </c>
      <c r="B20" s="9"/>
      <c r="C20" s="9"/>
      <c r="D20" s="9"/>
      <c r="E20" s="9"/>
      <c r="F20" s="9"/>
    </row>
    <row r="21" spans="1:11" ht="12" customHeight="1">
      <c r="A21" s="76"/>
      <c r="B21" s="9">
        <v>1322.51</v>
      </c>
      <c r="C21" s="9">
        <v>2235.75</v>
      </c>
      <c r="D21" s="9">
        <v>2570.69</v>
      </c>
      <c r="E21" s="9">
        <v>3474.19</v>
      </c>
      <c r="F21" s="9">
        <v>3629.49</v>
      </c>
    </row>
    <row r="22" spans="1:11" ht="12" customHeight="1">
      <c r="A22" s="76" t="s">
        <v>167</v>
      </c>
      <c r="B22" s="9"/>
      <c r="C22" s="9"/>
      <c r="D22" s="9"/>
      <c r="E22" s="9"/>
      <c r="F22" s="9"/>
    </row>
    <row r="23" spans="1:11" ht="12" customHeight="1">
      <c r="A23" s="76"/>
      <c r="B23" s="9">
        <v>-1245.27</v>
      </c>
      <c r="C23" s="9">
        <v>-1026.1400000000001</v>
      </c>
      <c r="D23" s="9">
        <v>624.05999999999995</v>
      </c>
      <c r="E23" s="9">
        <v>2497.0300000000002</v>
      </c>
      <c r="F23" s="9">
        <v>267.56</v>
      </c>
    </row>
    <row r="24" spans="1:11" ht="12" customHeight="1">
      <c r="A24" s="76" t="s">
        <v>168</v>
      </c>
      <c r="B24" s="9"/>
      <c r="C24" s="9"/>
      <c r="D24" s="9"/>
      <c r="E24" s="9"/>
      <c r="F24" s="9"/>
    </row>
    <row r="25" spans="1:11" ht="12" customHeight="1">
      <c r="A25" s="76"/>
      <c r="B25" s="9"/>
      <c r="C25" s="9">
        <v>503.85</v>
      </c>
      <c r="D25" s="9">
        <v>1914.66</v>
      </c>
      <c r="E25" s="9">
        <v>2011.32</v>
      </c>
      <c r="F25" s="9">
        <v>-543.41</v>
      </c>
    </row>
    <row r="26" spans="1:11" ht="12" customHeight="1">
      <c r="A26" s="82" t="s">
        <v>199</v>
      </c>
      <c r="B26" s="9"/>
      <c r="C26" s="9"/>
      <c r="D26" s="9"/>
      <c r="E26" s="9"/>
      <c r="F26" s="9"/>
    </row>
    <row r="27" spans="1:11" ht="12" customHeight="1">
      <c r="A27" s="82"/>
      <c r="B27" s="9"/>
      <c r="C27" s="31" t="s">
        <v>267</v>
      </c>
      <c r="D27" s="31" t="s">
        <v>268</v>
      </c>
      <c r="E27" s="31" t="s">
        <v>269</v>
      </c>
      <c r="F27" s="31" t="s">
        <v>270</v>
      </c>
    </row>
    <row r="28" spans="1:11" ht="12" customHeight="1">
      <c r="A28" s="95" t="s">
        <v>107</v>
      </c>
      <c r="B28" s="9"/>
      <c r="C28" s="9"/>
      <c r="D28" s="9"/>
      <c r="E28" s="9"/>
      <c r="F28" s="9"/>
    </row>
    <row r="29" spans="1:11" ht="12" customHeight="1">
      <c r="A29" s="95"/>
      <c r="B29" s="9">
        <v>587.37</v>
      </c>
      <c r="C29" s="9">
        <v>718.94</v>
      </c>
      <c r="D29" s="9">
        <v>-188.1</v>
      </c>
      <c r="E29" s="9">
        <v>778.42</v>
      </c>
      <c r="F29" s="9">
        <v>1171.32</v>
      </c>
    </row>
    <row r="30" spans="1:11" ht="12" customHeight="1">
      <c r="A30" s="76" t="s">
        <v>108</v>
      </c>
      <c r="B30" s="9"/>
      <c r="C30" s="9"/>
      <c r="D30" s="9"/>
      <c r="E30" s="9"/>
      <c r="F30" s="9"/>
    </row>
    <row r="31" spans="1:11" ht="12" customHeight="1">
      <c r="A31" s="76"/>
      <c r="B31" s="9">
        <v>-11953.42</v>
      </c>
      <c r="C31" s="9">
        <v>-5958.24</v>
      </c>
      <c r="D31" s="9">
        <v>18901.86</v>
      </c>
      <c r="E31" s="9">
        <v>42079.78</v>
      </c>
      <c r="F31" s="9">
        <v>33444.03</v>
      </c>
    </row>
    <row r="32" spans="1:11" ht="12" customHeight="1">
      <c r="A32" s="76" t="s">
        <v>109</v>
      </c>
      <c r="B32" s="51"/>
      <c r="C32" s="51"/>
      <c r="D32" s="51"/>
      <c r="E32" s="51"/>
      <c r="F32" s="51"/>
    </row>
    <row r="33" spans="1:6" ht="12" customHeight="1">
      <c r="A33" s="76"/>
      <c r="B33" s="9">
        <v>-8428.75</v>
      </c>
      <c r="C33" s="9">
        <v>-1625.2</v>
      </c>
      <c r="D33" s="9">
        <v>1295.8</v>
      </c>
      <c r="E33" s="9">
        <v>5749.65</v>
      </c>
      <c r="F33" s="9">
        <v>-2299.38</v>
      </c>
    </row>
    <row r="34" spans="1:6" ht="12" customHeight="1">
      <c r="A34" s="76" t="s">
        <v>110</v>
      </c>
      <c r="B34" s="9"/>
      <c r="C34" s="9"/>
      <c r="D34" s="9"/>
      <c r="E34" s="9"/>
      <c r="F34" s="9"/>
    </row>
    <row r="35" spans="1:6" ht="12" customHeight="1">
      <c r="A35" s="76"/>
      <c r="B35" s="9">
        <v>986.33</v>
      </c>
      <c r="C35" s="9">
        <v>6359.6</v>
      </c>
      <c r="D35" s="9">
        <v>9468.3700000000008</v>
      </c>
      <c r="E35" s="9">
        <v>17007.88</v>
      </c>
      <c r="F35" s="9">
        <v>9109.01</v>
      </c>
    </row>
    <row r="36" spans="1:6" ht="12" customHeight="1">
      <c r="A36" s="82" t="s">
        <v>177</v>
      </c>
      <c r="B36" s="9"/>
      <c r="C36" s="9"/>
      <c r="D36" s="9"/>
      <c r="E36" s="9"/>
      <c r="F36" s="9"/>
    </row>
    <row r="37" spans="1:6" ht="12" customHeight="1">
      <c r="A37" s="82"/>
      <c r="B37" s="9"/>
      <c r="C37" s="31" t="s">
        <v>271</v>
      </c>
      <c r="D37" s="31" t="s">
        <v>272</v>
      </c>
      <c r="E37" s="31" t="s">
        <v>273</v>
      </c>
      <c r="F37" s="31" t="s">
        <v>274</v>
      </c>
    </row>
    <row r="38" spans="1:6" ht="12" customHeight="1">
      <c r="A38" s="76" t="s">
        <v>111</v>
      </c>
      <c r="B38" s="9"/>
      <c r="C38" s="9"/>
      <c r="D38" s="9"/>
      <c r="E38" s="9"/>
      <c r="F38" s="9"/>
    </row>
    <row r="39" spans="1:6" ht="12" customHeight="1" thickBot="1">
      <c r="A39" s="80"/>
      <c r="B39" s="13">
        <v>-4052.32</v>
      </c>
      <c r="C39" s="13">
        <v>-12056.98</v>
      </c>
      <c r="D39" s="13">
        <v>8607.77</v>
      </c>
      <c r="E39" s="13">
        <v>15825.37</v>
      </c>
      <c r="F39" s="13">
        <v>22079.73</v>
      </c>
    </row>
    <row r="40" spans="1:6" ht="12" customHeight="1">
      <c r="A40" s="55"/>
      <c r="B40" s="56"/>
      <c r="C40" s="56"/>
      <c r="D40" s="56"/>
      <c r="E40" s="56"/>
      <c r="F40" s="56"/>
    </row>
    <row r="41" spans="1:6" ht="12" customHeight="1" thickBot="1">
      <c r="A41" s="44" t="s">
        <v>112</v>
      </c>
      <c r="B41" s="57">
        <v>7.1987778861202001</v>
      </c>
      <c r="C41" s="57">
        <v>7.0043797249021198</v>
      </c>
      <c r="D41" s="57">
        <v>7.1280226252979704</v>
      </c>
      <c r="E41" s="57">
        <v>7.18689415891654</v>
      </c>
      <c r="F41" s="57">
        <v>7.7603490918149696</v>
      </c>
    </row>
    <row r="42" spans="1:6" ht="7.5" customHeight="1">
      <c r="A42" s="15"/>
      <c r="B42" s="16"/>
      <c r="C42" s="16"/>
      <c r="D42" s="16"/>
      <c r="E42" s="16"/>
      <c r="F42" s="16"/>
    </row>
    <row r="43" spans="1:6" ht="11.9" customHeight="1">
      <c r="A43" s="58" t="s">
        <v>113</v>
      </c>
    </row>
    <row r="44" spans="1:6" ht="11.9" customHeight="1">
      <c r="A44" s="98" t="s">
        <v>114</v>
      </c>
      <c r="B44" s="99" t="s">
        <v>115</v>
      </c>
      <c r="C44" s="99"/>
      <c r="D44" s="96" t="s">
        <v>116</v>
      </c>
    </row>
    <row r="45" spans="1:6" ht="11.9" customHeight="1">
      <c r="A45" s="98"/>
      <c r="B45" s="97" t="s">
        <v>117</v>
      </c>
      <c r="C45" s="97"/>
      <c r="D45" s="96"/>
    </row>
    <row r="46" spans="1:6" ht="11.9" customHeight="1">
      <c r="A46" s="58" t="s">
        <v>118</v>
      </c>
    </row>
    <row r="47" spans="1:6" ht="11.9" customHeight="1"/>
    <row r="48" spans="1:6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85" spans="1:6">
      <c r="A85" s="19"/>
      <c r="B85" s="20"/>
      <c r="C85" s="20"/>
      <c r="D85" s="20"/>
      <c r="E85" s="20"/>
      <c r="F85" s="20"/>
    </row>
    <row r="86" spans="1:6">
      <c r="A86" s="15"/>
      <c r="B86" s="16"/>
      <c r="C86" s="16"/>
      <c r="D86" s="16"/>
      <c r="E86" s="16"/>
      <c r="F86" s="16"/>
    </row>
    <row r="87" spans="1:6">
      <c r="A87" s="17"/>
      <c r="B87" s="16"/>
      <c r="C87" s="16"/>
      <c r="D87" s="16"/>
      <c r="E87" s="16"/>
      <c r="F87" s="16"/>
    </row>
    <row r="88" spans="1:6">
      <c r="A88" s="17"/>
      <c r="B88" s="16"/>
      <c r="C88" s="16"/>
      <c r="D88" s="16"/>
      <c r="E88" s="16"/>
      <c r="F88" s="16"/>
    </row>
    <row r="89" spans="1:6">
      <c r="A89" s="17"/>
      <c r="B89" s="16"/>
      <c r="C89" s="16"/>
      <c r="D89" s="16"/>
      <c r="E89" s="16"/>
      <c r="F89" s="16"/>
    </row>
    <row r="90" spans="1:6">
      <c r="A90" s="17"/>
      <c r="B90" s="16"/>
      <c r="C90" s="16"/>
      <c r="D90" s="16"/>
      <c r="E90" s="16"/>
      <c r="F90" s="16"/>
    </row>
    <row r="91" spans="1:6">
      <c r="A91" s="17"/>
      <c r="B91" s="16"/>
      <c r="C91" s="16"/>
      <c r="D91" s="16"/>
      <c r="E91" s="16"/>
      <c r="F91" s="16"/>
    </row>
    <row r="92" spans="1:6">
      <c r="A92" s="17"/>
      <c r="B92" s="16"/>
      <c r="C92" s="16"/>
      <c r="D92" s="16"/>
      <c r="E92" s="16"/>
      <c r="F92" s="16"/>
    </row>
    <row r="93" spans="1:6">
      <c r="A93" s="15"/>
      <c r="B93" s="16"/>
      <c r="C93" s="16"/>
      <c r="D93" s="16"/>
      <c r="E93" s="16"/>
      <c r="F93" s="16"/>
    </row>
    <row r="94" spans="1:6">
      <c r="A94" s="15"/>
      <c r="B94" s="16"/>
      <c r="C94" s="16"/>
      <c r="D94" s="16"/>
      <c r="E94" s="16"/>
      <c r="F94" s="16"/>
    </row>
    <row r="95" spans="1:6">
      <c r="A95" s="15"/>
      <c r="B95" s="16"/>
      <c r="C95" s="16"/>
      <c r="D95" s="16"/>
      <c r="E95" s="16"/>
      <c r="F95" s="16"/>
    </row>
    <row r="96" spans="1:6">
      <c r="A96" s="15"/>
      <c r="B96" s="16"/>
      <c r="C96" s="16"/>
      <c r="D96" s="16"/>
      <c r="E96" s="16"/>
      <c r="F96" s="16"/>
    </row>
    <row r="97" spans="1:6">
      <c r="A97" s="15"/>
      <c r="B97" s="16"/>
      <c r="C97" s="16"/>
      <c r="D97" s="16"/>
      <c r="E97" s="16"/>
      <c r="F97" s="16"/>
    </row>
    <row r="98" spans="1:6">
      <c r="A98" s="15"/>
      <c r="B98" s="16"/>
      <c r="C98" s="16"/>
      <c r="D98" s="16"/>
      <c r="E98" s="16"/>
      <c r="F98" s="16"/>
    </row>
    <row r="99" spans="1:6">
      <c r="A99" s="15"/>
      <c r="B99" s="16"/>
      <c r="C99" s="16"/>
      <c r="D99" s="16"/>
      <c r="E99" s="16"/>
      <c r="F99" s="16"/>
    </row>
    <row r="100" spans="1:6">
      <c r="A100" s="17"/>
      <c r="B100" s="16"/>
      <c r="C100" s="16"/>
      <c r="D100" s="16"/>
      <c r="E100" s="16"/>
      <c r="F100" s="16"/>
    </row>
    <row r="101" spans="1:6">
      <c r="A101" s="17"/>
      <c r="B101" s="16"/>
      <c r="C101" s="16"/>
      <c r="D101" s="16"/>
      <c r="E101" s="16"/>
      <c r="F101" s="16"/>
    </row>
  </sheetData>
  <mergeCells count="24">
    <mergeCell ref="A30:A31"/>
    <mergeCell ref="A32:A33"/>
    <mergeCell ref="A26:A27"/>
    <mergeCell ref="D44:D45"/>
    <mergeCell ref="B45:C45"/>
    <mergeCell ref="A34:A35"/>
    <mergeCell ref="A38:A39"/>
    <mergeCell ref="A44:A45"/>
    <mergeCell ref="B44:C44"/>
    <mergeCell ref="A36:A37"/>
    <mergeCell ref="A16:A17"/>
    <mergeCell ref="A18:A19"/>
    <mergeCell ref="A20:A21"/>
    <mergeCell ref="A22:A23"/>
    <mergeCell ref="A24:A25"/>
    <mergeCell ref="A28:A29"/>
    <mergeCell ref="E4:E5"/>
    <mergeCell ref="F4:F5"/>
    <mergeCell ref="A6:A7"/>
    <mergeCell ref="A14:A15"/>
    <mergeCell ref="A4:A5"/>
    <mergeCell ref="B4:B5"/>
    <mergeCell ref="C4:C5"/>
    <mergeCell ref="D4:D5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  <colBreaks count="1" manualBreakCount="1"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9090-F5B9-4108-B23A-5482E0E44BB9}">
  <dimension ref="A1:K103"/>
  <sheetViews>
    <sheetView zoomScaleNormal="100" workbookViewId="0"/>
  </sheetViews>
  <sheetFormatPr defaultColWidth="9" defaultRowHeight="11"/>
  <cols>
    <col min="1" max="1" width="25.453125" style="2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B1" s="1" t="s">
        <v>119</v>
      </c>
    </row>
    <row r="3" spans="1:11" ht="11.5" thickBot="1">
      <c r="K3" s="3" t="s">
        <v>120</v>
      </c>
    </row>
    <row r="4" spans="1:11" ht="12" customHeight="1" thickBot="1">
      <c r="A4" s="77" t="s">
        <v>121</v>
      </c>
      <c r="B4" s="73">
        <v>2003</v>
      </c>
      <c r="C4" s="73"/>
      <c r="D4" s="73">
        <v>2004</v>
      </c>
      <c r="E4" s="73"/>
      <c r="F4" s="73">
        <v>2005</v>
      </c>
      <c r="G4" s="73"/>
      <c r="H4" s="73">
        <v>2006</v>
      </c>
      <c r="I4" s="73"/>
      <c r="J4" s="73">
        <v>2007</v>
      </c>
      <c r="K4" s="73"/>
    </row>
    <row r="5" spans="1:11" ht="25" customHeight="1" thickBot="1">
      <c r="A5" s="78"/>
      <c r="B5" s="4"/>
      <c r="C5" s="5" t="s">
        <v>122</v>
      </c>
      <c r="D5" s="4"/>
      <c r="E5" s="5" t="s">
        <v>122</v>
      </c>
      <c r="F5" s="4"/>
      <c r="G5" s="5" t="s">
        <v>122</v>
      </c>
      <c r="H5" s="4"/>
      <c r="I5" s="5" t="s">
        <v>122</v>
      </c>
      <c r="J5" s="4"/>
      <c r="K5" s="5" t="s">
        <v>122</v>
      </c>
    </row>
    <row r="6" spans="1:11" ht="12" customHeight="1">
      <c r="A6" s="75" t="s">
        <v>123</v>
      </c>
      <c r="B6" s="6"/>
      <c r="C6" s="59"/>
      <c r="D6" s="6"/>
      <c r="E6" s="59"/>
      <c r="F6" s="6"/>
      <c r="G6" s="59"/>
      <c r="H6" s="6"/>
      <c r="I6" s="59"/>
      <c r="J6" s="6"/>
      <c r="K6" s="59"/>
    </row>
    <row r="7" spans="1:11" ht="12" customHeight="1">
      <c r="A7" s="76"/>
      <c r="B7" s="9">
        <v>2066765.49</v>
      </c>
      <c r="C7" s="60">
        <v>0.64207874571658863</v>
      </c>
      <c r="D7" s="9">
        <v>2184148.56</v>
      </c>
      <c r="E7" s="60">
        <v>5.6795543842760736</v>
      </c>
      <c r="F7" s="9">
        <v>2320094.4500000002</v>
      </c>
      <c r="G7" s="60">
        <v>6.2242052802488956</v>
      </c>
      <c r="H7" s="9">
        <v>2427987.6800000002</v>
      </c>
      <c r="I7" s="60">
        <v>4.6503809360002606</v>
      </c>
      <c r="J7" s="9">
        <v>2455006.89</v>
      </c>
      <c r="K7" s="60">
        <v>1.112823191919972</v>
      </c>
    </row>
    <row r="8" spans="1:11" ht="12" customHeight="1">
      <c r="A8" s="76" t="s">
        <v>124</v>
      </c>
      <c r="B8" s="9"/>
      <c r="C8" s="60"/>
      <c r="D8" s="9"/>
      <c r="E8" s="60"/>
      <c r="F8" s="9"/>
      <c r="G8" s="60"/>
      <c r="H8" s="9"/>
      <c r="I8" s="60"/>
      <c r="J8" s="9"/>
      <c r="K8" s="60"/>
    </row>
    <row r="9" spans="1:11" ht="12" customHeight="1">
      <c r="A9" s="76"/>
      <c r="B9" s="9">
        <v>1735342.58</v>
      </c>
      <c r="C9" s="60">
        <v>2.2098219031811226</v>
      </c>
      <c r="D9" s="9">
        <v>1797451.08</v>
      </c>
      <c r="E9" s="60">
        <v>3.5790339449862358</v>
      </c>
      <c r="F9" s="9">
        <v>1910029.78</v>
      </c>
      <c r="G9" s="60">
        <v>6.2632413895792922</v>
      </c>
      <c r="H9" s="9">
        <v>1986788.48</v>
      </c>
      <c r="I9" s="60">
        <v>4.0187174463845281</v>
      </c>
      <c r="J9" s="9">
        <v>1980527.46</v>
      </c>
      <c r="K9" s="60">
        <v>-0.31513269092440055</v>
      </c>
    </row>
    <row r="10" spans="1:11" ht="12" customHeight="1">
      <c r="A10" s="76" t="s">
        <v>125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76"/>
      <c r="B11" s="9">
        <v>1759537.62</v>
      </c>
      <c r="C11" s="10">
        <v>-6.1310650000000004</v>
      </c>
      <c r="D11" s="9">
        <v>1744840.92</v>
      </c>
      <c r="E11" s="10">
        <v>-0.83525899999999997</v>
      </c>
      <c r="F11" s="9">
        <v>1799671.96</v>
      </c>
      <c r="G11" s="10">
        <v>3.1424660000000002</v>
      </c>
      <c r="H11" s="9">
        <v>1623640.74</v>
      </c>
      <c r="I11" s="10">
        <v>-9.7812950000000001</v>
      </c>
      <c r="J11" s="9">
        <v>1623223.48</v>
      </c>
      <c r="K11" s="10">
        <v>-2.5699E-2</v>
      </c>
    </row>
    <row r="12" spans="1:11" ht="12" customHeight="1">
      <c r="A12" s="76" t="s">
        <v>126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76"/>
      <c r="B13" s="9">
        <v>2564788.4700000002</v>
      </c>
      <c r="C13" s="10">
        <v>-5.1852090000000004</v>
      </c>
      <c r="D13" s="9">
        <v>2657495.4900000002</v>
      </c>
      <c r="E13" s="10">
        <v>3.6146069999999999</v>
      </c>
      <c r="F13" s="9">
        <v>2499726.06</v>
      </c>
      <c r="G13" s="10">
        <v>-5.9367710000000002</v>
      </c>
      <c r="H13" s="9">
        <v>2617533.36</v>
      </c>
      <c r="I13" s="10">
        <v>4.7128079999999999</v>
      </c>
      <c r="J13" s="9">
        <v>2466645.85</v>
      </c>
      <c r="K13" s="10">
        <v>-5.7644919999999997</v>
      </c>
    </row>
    <row r="14" spans="1:11" ht="12" customHeight="1">
      <c r="A14" s="76" t="s">
        <v>127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ht="12" customHeight="1">
      <c r="A15" s="76"/>
      <c r="B15" s="9">
        <v>1290603.3400000001</v>
      </c>
      <c r="C15" s="10">
        <v>-3.3174980000000001</v>
      </c>
      <c r="D15" s="9">
        <v>1370709.15</v>
      </c>
      <c r="E15" s="10">
        <v>6.2068500000000002</v>
      </c>
      <c r="F15" s="9">
        <v>1403814.4</v>
      </c>
      <c r="G15" s="10">
        <v>2.4151910000000001</v>
      </c>
      <c r="H15" s="9">
        <v>1471060.41</v>
      </c>
      <c r="I15" s="10">
        <v>4.790235</v>
      </c>
      <c r="J15" s="9">
        <v>1353663.45</v>
      </c>
      <c r="K15" s="10">
        <v>-7.9804310000000003</v>
      </c>
    </row>
    <row r="16" spans="1:11" ht="12" customHeight="1">
      <c r="A16" s="76" t="s">
        <v>128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ht="12" customHeight="1" thickBot="1">
      <c r="A17" s="76"/>
      <c r="B17" s="9">
        <v>114758.26</v>
      </c>
      <c r="C17" s="10">
        <v>-12.681260999999999</v>
      </c>
      <c r="D17" s="9">
        <v>156102.96</v>
      </c>
      <c r="E17" s="10">
        <v>36.027645999999997</v>
      </c>
      <c r="F17" s="9">
        <v>135477.4</v>
      </c>
      <c r="G17" s="10">
        <v>-13.212792</v>
      </c>
      <c r="H17" s="9">
        <v>156848.35999999999</v>
      </c>
      <c r="I17" s="10">
        <v>15.774557</v>
      </c>
      <c r="J17" s="9">
        <v>191687</v>
      </c>
      <c r="K17" s="10">
        <v>22.211670000000002</v>
      </c>
    </row>
    <row r="18" spans="1:11" ht="12" customHeight="1">
      <c r="A18" s="75" t="s">
        <v>129</v>
      </c>
      <c r="B18" s="61"/>
      <c r="C18" s="62"/>
      <c r="D18" s="61"/>
      <c r="E18" s="62"/>
      <c r="F18" s="61"/>
      <c r="G18" s="62"/>
      <c r="H18" s="61"/>
      <c r="I18" s="62"/>
      <c r="J18" s="61"/>
      <c r="K18" s="62"/>
    </row>
    <row r="19" spans="1:11" ht="12" customHeight="1" thickBot="1">
      <c r="A19" s="80"/>
      <c r="B19" s="100">
        <v>10.442055999999999</v>
      </c>
      <c r="C19" s="101"/>
      <c r="D19" s="100">
        <v>10.619934000000001</v>
      </c>
      <c r="E19" s="101"/>
      <c r="F19" s="100">
        <v>10.186465999999999</v>
      </c>
      <c r="G19" s="101"/>
      <c r="H19" s="100">
        <v>10.34728</v>
      </c>
      <c r="I19" s="101"/>
      <c r="J19" s="102">
        <v>9.8226580000000006</v>
      </c>
      <c r="K19" s="103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88" t="s">
        <v>130</v>
      </c>
      <c r="B21" s="89" t="s">
        <v>131</v>
      </c>
      <c r="C21" s="89"/>
      <c r="D21" s="89"/>
      <c r="E21" s="89"/>
      <c r="F21" s="89"/>
      <c r="G21" s="89"/>
      <c r="H21" s="89"/>
      <c r="I21" s="92" t="s">
        <v>116</v>
      </c>
      <c r="J21" s="16"/>
      <c r="K21" s="17"/>
    </row>
    <row r="22" spans="1:11" ht="11.9" customHeight="1">
      <c r="A22" s="88"/>
      <c r="B22" s="90" t="s">
        <v>117</v>
      </c>
      <c r="C22" s="90"/>
      <c r="D22" s="90"/>
      <c r="E22" s="90"/>
      <c r="F22" s="90"/>
      <c r="G22" s="90"/>
      <c r="H22" s="90"/>
      <c r="I22" s="92"/>
      <c r="J22" s="16"/>
      <c r="K22" s="17"/>
    </row>
    <row r="23" spans="1:11" ht="11.9" customHeight="1">
      <c r="A23" s="18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</row>
    <row r="38" spans="1:11" ht="11.9" customHeight="1">
      <c r="A38" s="15"/>
      <c r="B38" s="16"/>
      <c r="C38" s="17"/>
      <c r="D38" s="16"/>
      <c r="E38" s="17"/>
      <c r="F38" s="16"/>
      <c r="G38" s="17"/>
      <c r="H38" s="16"/>
      <c r="I38" s="17"/>
      <c r="J38" s="16"/>
      <c r="K38" s="17"/>
    </row>
    <row r="39" spans="1:11" ht="11.9" customHeight="1">
      <c r="A39" s="15"/>
      <c r="B39" s="16"/>
      <c r="C39" s="17"/>
      <c r="D39" s="16"/>
      <c r="E39" s="17"/>
      <c r="F39" s="16"/>
      <c r="G39" s="17"/>
      <c r="H39" s="16"/>
      <c r="I39" s="17"/>
      <c r="J39" s="16"/>
      <c r="K39" s="17"/>
    </row>
    <row r="40" spans="1:11" ht="11.9" customHeight="1">
      <c r="A40" s="15"/>
      <c r="B40" s="16"/>
      <c r="C40" s="17"/>
      <c r="D40" s="16"/>
      <c r="E40" s="17"/>
      <c r="F40" s="16"/>
      <c r="G40" s="17"/>
      <c r="H40" s="16"/>
      <c r="I40" s="17"/>
      <c r="J40" s="16"/>
      <c r="K40" s="17"/>
    </row>
    <row r="41" spans="1:11" ht="11.9" customHeight="1">
      <c r="A41" s="15"/>
      <c r="B41" s="16"/>
      <c r="C41" s="17"/>
      <c r="D41" s="16"/>
      <c r="E41" s="17"/>
      <c r="F41" s="16"/>
      <c r="G41" s="17"/>
      <c r="H41" s="16"/>
      <c r="I41" s="17"/>
      <c r="J41" s="16"/>
      <c r="K41" s="17"/>
    </row>
    <row r="42" spans="1:11" ht="11.9" customHeight="1">
      <c r="A42" s="15"/>
      <c r="B42" s="16"/>
      <c r="C42" s="17"/>
      <c r="D42" s="16"/>
      <c r="E42" s="17"/>
      <c r="F42" s="16"/>
      <c r="G42" s="17"/>
      <c r="H42" s="16"/>
      <c r="I42" s="17"/>
      <c r="J42" s="16"/>
      <c r="K42" s="17"/>
    </row>
    <row r="43" spans="1:11" ht="11.9" customHeight="1">
      <c r="A43" s="15"/>
      <c r="B43" s="16"/>
      <c r="C43" s="17"/>
      <c r="D43" s="16"/>
      <c r="E43" s="17"/>
      <c r="F43" s="16"/>
      <c r="G43" s="17"/>
      <c r="H43" s="16"/>
      <c r="I43" s="17"/>
      <c r="J43" s="16"/>
      <c r="K43" s="17"/>
    </row>
    <row r="44" spans="1:11" ht="11.9" customHeight="1">
      <c r="A44" s="15"/>
      <c r="B44" s="16"/>
      <c r="C44" s="17"/>
      <c r="D44" s="16"/>
      <c r="E44" s="17"/>
      <c r="F44" s="16"/>
      <c r="G44" s="17"/>
      <c r="H44" s="16"/>
      <c r="I44" s="17"/>
      <c r="J44" s="16"/>
      <c r="K44" s="17"/>
    </row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87" spans="1:10">
      <c r="A87" s="19"/>
      <c r="B87" s="20"/>
      <c r="D87" s="20"/>
      <c r="F87" s="20"/>
      <c r="H87" s="20"/>
      <c r="J87" s="20"/>
    </row>
    <row r="88" spans="1:10">
      <c r="A88" s="15"/>
      <c r="B88" s="16"/>
      <c r="D88" s="16"/>
      <c r="F88" s="16"/>
      <c r="H88" s="16"/>
      <c r="J88" s="16"/>
    </row>
    <row r="89" spans="1:10">
      <c r="A89" s="17"/>
      <c r="B89" s="16"/>
      <c r="D89" s="16"/>
      <c r="F89" s="16"/>
      <c r="H89" s="16"/>
      <c r="J89" s="16"/>
    </row>
    <row r="90" spans="1:10">
      <c r="A90" s="17"/>
      <c r="B90" s="16"/>
      <c r="D90" s="16"/>
      <c r="F90" s="16"/>
      <c r="H90" s="16"/>
      <c r="J90" s="16"/>
    </row>
    <row r="91" spans="1:10">
      <c r="A91" s="17"/>
      <c r="B91" s="16"/>
      <c r="D91" s="16"/>
      <c r="F91" s="16"/>
      <c r="H91" s="16"/>
      <c r="J91" s="16"/>
    </row>
    <row r="92" spans="1:10">
      <c r="A92" s="17"/>
      <c r="B92" s="16"/>
      <c r="D92" s="16"/>
      <c r="F92" s="16"/>
      <c r="H92" s="16"/>
      <c r="J92" s="16"/>
    </row>
    <row r="93" spans="1:10">
      <c r="A93" s="17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5"/>
      <c r="B95" s="16"/>
      <c r="D95" s="16"/>
      <c r="F95" s="16"/>
      <c r="H95" s="16"/>
      <c r="J95" s="16"/>
    </row>
    <row r="96" spans="1:10">
      <c r="A96" s="15"/>
      <c r="B96" s="16"/>
      <c r="D96" s="16"/>
      <c r="F96" s="16"/>
      <c r="H96" s="16"/>
      <c r="J96" s="16"/>
    </row>
    <row r="97" spans="1:10">
      <c r="A97" s="15"/>
      <c r="B97" s="16"/>
      <c r="D97" s="16"/>
      <c r="F97" s="16"/>
      <c r="H97" s="16"/>
      <c r="J97" s="16"/>
    </row>
    <row r="98" spans="1:10">
      <c r="A98" s="15"/>
      <c r="B98" s="16"/>
      <c r="D98" s="16"/>
      <c r="F98" s="16"/>
      <c r="H98" s="16"/>
      <c r="J98" s="16"/>
    </row>
    <row r="99" spans="1:10">
      <c r="A99" s="15"/>
      <c r="B99" s="16"/>
      <c r="D99" s="16"/>
      <c r="F99" s="16"/>
      <c r="H99" s="16"/>
      <c r="J99" s="16"/>
    </row>
    <row r="100" spans="1:10">
      <c r="A100" s="15"/>
      <c r="B100" s="16"/>
      <c r="D100" s="16"/>
      <c r="F100" s="16"/>
      <c r="H100" s="16"/>
      <c r="J100" s="16"/>
    </row>
    <row r="101" spans="1:10">
      <c r="A101" s="15"/>
      <c r="B101" s="16"/>
      <c r="D101" s="16"/>
      <c r="F101" s="16"/>
      <c r="H101" s="16"/>
      <c r="J101" s="16"/>
    </row>
    <row r="102" spans="1:10">
      <c r="A102" s="17"/>
      <c r="B102" s="16"/>
      <c r="D102" s="16"/>
      <c r="F102" s="16"/>
      <c r="H102" s="16"/>
      <c r="J102" s="16"/>
    </row>
    <row r="103" spans="1:10">
      <c r="A103" s="17"/>
      <c r="B103" s="16"/>
      <c r="D103" s="16"/>
      <c r="F103" s="16"/>
      <c r="H103" s="16"/>
      <c r="J103" s="16"/>
    </row>
  </sheetData>
  <mergeCells count="22">
    <mergeCell ref="A21:A22"/>
    <mergeCell ref="B21:H21"/>
    <mergeCell ref="I21:I22"/>
    <mergeCell ref="B22:H22"/>
    <mergeCell ref="A18:A19"/>
    <mergeCell ref="B19:C19"/>
    <mergeCell ref="D19:E19"/>
    <mergeCell ref="F19:G19"/>
    <mergeCell ref="A10:A11"/>
    <mergeCell ref="A12:A13"/>
    <mergeCell ref="A14:A15"/>
    <mergeCell ref="A16:A17"/>
    <mergeCell ref="H19:I19"/>
    <mergeCell ref="J19:K19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AC84-B720-4C10-9A7B-0DF7CE1437BC}">
  <dimension ref="A1:K108"/>
  <sheetViews>
    <sheetView zoomScaleNormal="100" zoomScaleSheetLayoutView="100" workbookViewId="0"/>
  </sheetViews>
  <sheetFormatPr defaultColWidth="9" defaultRowHeight="11"/>
  <cols>
    <col min="1" max="1" width="24.7265625" style="2" customWidth="1"/>
    <col min="2" max="2" width="15.6328125" style="2" customWidth="1"/>
    <col min="3" max="3" width="8.08984375" style="2" customWidth="1"/>
    <col min="4" max="4" width="15.6328125" style="2" customWidth="1"/>
    <col min="5" max="5" width="8.08984375" style="2" customWidth="1"/>
    <col min="6" max="6" width="15.6328125" style="2" customWidth="1"/>
    <col min="7" max="7" width="8.08984375" style="2" customWidth="1"/>
    <col min="8" max="8" width="15.6328125" style="2" customWidth="1"/>
    <col min="9" max="9" width="8.08984375" style="2" customWidth="1"/>
    <col min="10" max="10" width="15.6328125" style="2" customWidth="1"/>
    <col min="11" max="11" width="8.08984375" style="2" customWidth="1"/>
    <col min="12" max="16384" width="9" style="2"/>
  </cols>
  <sheetData>
    <row r="1" spans="1:11" ht="19">
      <c r="B1" s="1" t="s">
        <v>132</v>
      </c>
    </row>
    <row r="3" spans="1:11" ht="11.5" thickBot="1">
      <c r="K3" s="3" t="s">
        <v>39</v>
      </c>
    </row>
    <row r="4" spans="1:11" ht="12" customHeight="1" thickBot="1">
      <c r="A4" s="77" t="s">
        <v>98</v>
      </c>
      <c r="B4" s="73">
        <v>2003</v>
      </c>
      <c r="C4" s="73"/>
      <c r="D4" s="73">
        <v>2004</v>
      </c>
      <c r="E4" s="74"/>
      <c r="F4" s="73">
        <v>2005</v>
      </c>
      <c r="G4" s="74"/>
      <c r="H4" s="73">
        <v>2006</v>
      </c>
      <c r="I4" s="74"/>
      <c r="J4" s="73">
        <v>2007</v>
      </c>
      <c r="K4" s="74"/>
    </row>
    <row r="5" spans="1:11" ht="25" customHeight="1" thickBot="1">
      <c r="A5" s="78"/>
      <c r="B5" s="4"/>
      <c r="C5" s="5" t="s">
        <v>133</v>
      </c>
      <c r="D5" s="4"/>
      <c r="E5" s="5" t="s">
        <v>133</v>
      </c>
      <c r="F5" s="4"/>
      <c r="G5" s="5" t="s">
        <v>133</v>
      </c>
      <c r="H5" s="4"/>
      <c r="I5" s="5" t="s">
        <v>133</v>
      </c>
      <c r="J5" s="4"/>
      <c r="K5" s="5" t="s">
        <v>133</v>
      </c>
    </row>
    <row r="6" spans="1:11" ht="12" customHeight="1">
      <c r="A6" s="75" t="s">
        <v>134</v>
      </c>
      <c r="B6" s="6"/>
      <c r="C6" s="63"/>
      <c r="D6" s="6"/>
      <c r="E6" s="63"/>
      <c r="F6" s="6"/>
      <c r="G6" s="63"/>
      <c r="H6" s="6"/>
      <c r="I6" s="63"/>
      <c r="J6" s="6"/>
      <c r="K6" s="63"/>
    </row>
    <row r="7" spans="1:11" ht="12" customHeight="1">
      <c r="A7" s="76"/>
      <c r="B7" s="9">
        <v>459988.78</v>
      </c>
      <c r="C7" s="64">
        <f>IF(B7="", "", IF(B7&lt;=0, "*", 100))</f>
        <v>100</v>
      </c>
      <c r="D7" s="9">
        <v>476753.57</v>
      </c>
      <c r="E7" s="64">
        <f>IF(D7="", "", IF(D7&lt;=0, "*", 100))</f>
        <v>100</v>
      </c>
      <c r="F7" s="9">
        <v>745813.78</v>
      </c>
      <c r="G7" s="64">
        <f>IF(F7="", "", IF(F7&lt;=0, "*", 100))</f>
        <v>100</v>
      </c>
      <c r="H7" s="9">
        <v>632820.38</v>
      </c>
      <c r="I7" s="64">
        <f>IF(H7="", "", IF(H7&lt;=0, "*", 100))</f>
        <v>100</v>
      </c>
      <c r="J7" s="9">
        <v>540729.48</v>
      </c>
      <c r="K7" s="64">
        <f>IF(J7="", "", IF(J7&lt;=0, "*", 100))</f>
        <v>100</v>
      </c>
    </row>
    <row r="8" spans="1:11" ht="12" customHeight="1">
      <c r="A8" s="76" t="s">
        <v>135</v>
      </c>
      <c r="B8" s="9"/>
      <c r="C8" s="64"/>
      <c r="D8" s="9"/>
      <c r="E8" s="64"/>
      <c r="F8" s="9"/>
      <c r="G8" s="64"/>
      <c r="H8" s="9"/>
      <c r="I8" s="64"/>
      <c r="J8" s="9"/>
      <c r="K8" s="64"/>
    </row>
    <row r="9" spans="1:11" ht="12" customHeight="1">
      <c r="A9" s="76"/>
      <c r="B9" s="9">
        <v>-260078.98</v>
      </c>
      <c r="C9" s="64">
        <f>IF(B7="","", IF(B7&lt;=0,"*",B9*100/B7))</f>
        <v>-56.540287787019494</v>
      </c>
      <c r="D9" s="9">
        <v>-319677.76</v>
      </c>
      <c r="E9" s="64">
        <f>IF(D7="","", IF(D7&lt;=0,"*",D9*100/D7))</f>
        <v>-67.053039581853582</v>
      </c>
      <c r="F9" s="9">
        <v>-264843.69</v>
      </c>
      <c r="G9" s="64">
        <f>IF(F7="","", IF(F7&lt;=0,"*",F9*100/F7))</f>
        <v>-35.510699467097538</v>
      </c>
      <c r="H9" s="9">
        <v>-140459.62</v>
      </c>
      <c r="I9" s="64">
        <f>IF(H7="","", IF(H7&lt;=0,"*",H9*100/H7))</f>
        <v>-22.195811708845408</v>
      </c>
      <c r="J9" s="9">
        <v>-33378.28</v>
      </c>
      <c r="K9" s="64">
        <f>IF(J7="","", IF(J7&lt;=0,"*",J9*100/J7))</f>
        <v>-6.1728241633875784</v>
      </c>
    </row>
    <row r="10" spans="1:11" ht="12" customHeight="1">
      <c r="A10" s="76" t="s">
        <v>136</v>
      </c>
      <c r="B10" s="9"/>
      <c r="C10" s="64"/>
      <c r="D10" s="9"/>
      <c r="E10" s="64"/>
      <c r="F10" s="9"/>
      <c r="G10" s="64"/>
      <c r="H10" s="9"/>
      <c r="I10" s="64"/>
      <c r="J10" s="9"/>
      <c r="K10" s="64"/>
    </row>
    <row r="11" spans="1:11" ht="12" customHeight="1">
      <c r="A11" s="76"/>
      <c r="B11" s="9">
        <v>-80305.22</v>
      </c>
      <c r="C11" s="64">
        <f>IF(B7="","", IF(B7&lt;=0,"*",B11*100/B7))</f>
        <v>-17.458082347138987</v>
      </c>
      <c r="D11" s="9">
        <v>-169473.89</v>
      </c>
      <c r="E11" s="64">
        <f>IF(D7="","", IF(D7&lt;=0,"*",D11*100/D7))</f>
        <v>-35.547482109048495</v>
      </c>
      <c r="F11" s="9">
        <v>-154128.45000000001</v>
      </c>
      <c r="G11" s="64">
        <f>IF(F7="","", IF(F7&lt;=0,"*",F11*100/F7))</f>
        <v>-20.665808829651823</v>
      </c>
      <c r="H11" s="9">
        <v>-110645.72</v>
      </c>
      <c r="I11" s="64">
        <f>IF(H7="","", IF(H7&lt;=0,"*",H11*100/H7))</f>
        <v>-17.484538029574839</v>
      </c>
      <c r="J11" s="9">
        <v>-102543</v>
      </c>
      <c r="K11" s="64">
        <f>IF(J7="","", IF(J7&lt;=0,"*",J11*100/J7))</f>
        <v>-18.963826422040093</v>
      </c>
    </row>
    <row r="12" spans="1:11" ht="12" customHeight="1">
      <c r="A12" s="76" t="s">
        <v>137</v>
      </c>
      <c r="B12" s="9"/>
      <c r="C12" s="64"/>
      <c r="D12" s="9"/>
      <c r="E12" s="64"/>
      <c r="F12" s="9"/>
      <c r="G12" s="64"/>
      <c r="H12" s="9"/>
      <c r="I12" s="64"/>
      <c r="J12" s="9"/>
      <c r="K12" s="64"/>
    </row>
    <row r="13" spans="1:11" ht="12" customHeight="1">
      <c r="A13" s="76"/>
      <c r="B13" s="9">
        <v>399.44</v>
      </c>
      <c r="C13" s="64">
        <f>IF(B7="","", IF(B7&lt;=0,"*",B13*100/B7))</f>
        <v>8.6836900673968612E-2</v>
      </c>
      <c r="D13" s="9">
        <v>-15780.55</v>
      </c>
      <c r="E13" s="64">
        <f>IF(D7="","", IF(D7&lt;=0,"*",D13*100/D7))</f>
        <v>-3.3100014332352035</v>
      </c>
      <c r="F13" s="9">
        <v>-10899.15</v>
      </c>
      <c r="G13" s="64">
        <v>-1.4</v>
      </c>
      <c r="H13" s="9">
        <v>-1330.67</v>
      </c>
      <c r="I13" s="64">
        <f>IF(H7="","", IF(H7&lt;=0,"*",H13*100/H7))</f>
        <v>-0.21027609761872712</v>
      </c>
      <c r="J13" s="9">
        <v>729.78</v>
      </c>
      <c r="K13" s="64">
        <f>IF(J7="","", IF(J7&lt;=0,"*",J13*100/J7))</f>
        <v>0.13496212560853904</v>
      </c>
    </row>
    <row r="14" spans="1:11" ht="12" customHeight="1">
      <c r="A14" s="76" t="s">
        <v>138</v>
      </c>
      <c r="B14" s="9"/>
      <c r="C14" s="64"/>
      <c r="D14" s="9"/>
      <c r="E14" s="64"/>
      <c r="F14" s="9"/>
      <c r="G14" s="64"/>
      <c r="H14" s="9"/>
      <c r="I14" s="64"/>
      <c r="J14" s="9"/>
      <c r="K14" s="64"/>
    </row>
    <row r="15" spans="1:11" ht="12" customHeight="1">
      <c r="A15" s="76"/>
      <c r="B15" s="9">
        <v>-180173.2</v>
      </c>
      <c r="C15" s="64">
        <f>IF(B7="","", IF(B7&lt;=0,"*",B15*100/B7))</f>
        <v>-39.169042340554476</v>
      </c>
      <c r="D15" s="9">
        <v>-134423.32</v>
      </c>
      <c r="E15" s="64">
        <f>IF(D7="","", IF(D7&lt;=0,"*",D15*100/D7))</f>
        <v>-28.195556039569876</v>
      </c>
      <c r="F15" s="9">
        <v>-99816.09</v>
      </c>
      <c r="G15" s="64">
        <f>IF(F7="","", IF(F7&lt;=0,"*",F15*100/F7))</f>
        <v>-13.383513777393601</v>
      </c>
      <c r="H15" s="9">
        <v>-28483.23</v>
      </c>
      <c r="I15" s="64">
        <f>IF(H7="","", IF(H7&lt;=0,"*",H15*100/H7))</f>
        <v>-4.5009975816518422</v>
      </c>
      <c r="J15" s="9">
        <v>68434.94</v>
      </c>
      <c r="K15" s="64">
        <f>IF(J7="","", IF(J7&lt;=0,"*",J15*100/J7))</f>
        <v>12.656040133043977</v>
      </c>
    </row>
    <row r="16" spans="1:11" ht="12" customHeight="1">
      <c r="A16" s="76" t="s">
        <v>139</v>
      </c>
      <c r="B16" s="9"/>
      <c r="C16" s="64"/>
      <c r="D16" s="9"/>
      <c r="E16" s="64"/>
      <c r="F16" s="9"/>
      <c r="G16" s="64"/>
      <c r="H16" s="9"/>
      <c r="I16" s="64"/>
      <c r="J16" s="9"/>
      <c r="K16" s="64"/>
    </row>
    <row r="17" spans="1:11" ht="12" customHeight="1">
      <c r="A17" s="76"/>
      <c r="B17" s="9">
        <v>-40803.440000000002</v>
      </c>
      <c r="C17" s="64">
        <f>IF(B7="","", IF(B7&lt;=0,"*",B17*100/B7))</f>
        <v>-8.8705294072607597</v>
      </c>
      <c r="D17" s="9">
        <v>-59972.29</v>
      </c>
      <c r="E17" s="64">
        <f>IF(D7="","", IF(D7&lt;=0,"*",D17*100/D7))</f>
        <v>-12.579305908501116</v>
      </c>
      <c r="F17" s="9">
        <v>-57091.96</v>
      </c>
      <c r="G17" s="64">
        <f>IF(F7="","", IF(F7&lt;=0,"*",F17*100/F7))</f>
        <v>-7.6549886219586876</v>
      </c>
      <c r="H17" s="9">
        <v>18213.62</v>
      </c>
      <c r="I17" s="64">
        <f>IF(H7="","", IF(H7&lt;=0,"*",H17*100/H7))</f>
        <v>2.8781658390963956</v>
      </c>
      <c r="J17" s="9">
        <v>382.88</v>
      </c>
      <c r="K17" s="64">
        <f>IF(J7="","", IF(J7&lt;=0,"*",J17*100/J7))</f>
        <v>7.0808049895855499E-2</v>
      </c>
    </row>
    <row r="18" spans="1:11" ht="12" customHeight="1">
      <c r="A18" s="76" t="s">
        <v>140</v>
      </c>
      <c r="B18" s="9"/>
      <c r="C18" s="64"/>
      <c r="D18" s="9"/>
      <c r="E18" s="64"/>
      <c r="F18" s="9"/>
      <c r="G18" s="64"/>
      <c r="H18" s="9"/>
      <c r="I18" s="64"/>
      <c r="J18" s="9"/>
      <c r="K18" s="64"/>
    </row>
    <row r="19" spans="1:11" ht="12" customHeight="1">
      <c r="A19" s="76"/>
      <c r="B19" s="9">
        <v>-139369.76</v>
      </c>
      <c r="C19" s="64">
        <f>IF(B7="","", IF(B7&lt;=0,"*",B19*100/B7))</f>
        <v>-30.298512933293718</v>
      </c>
      <c r="D19" s="9">
        <v>-74451.03</v>
      </c>
      <c r="E19" s="64">
        <f>IF(D7="","", IF(D7&lt;=0,"*",D19*100/D7))</f>
        <v>-15.616250131068762</v>
      </c>
      <c r="F19" s="9">
        <v>-42724.13</v>
      </c>
      <c r="G19" s="64">
        <f>IF(F7="","", IF(F7&lt;=0,"*",F19*100/F7))</f>
        <v>-5.7285251554349124</v>
      </c>
      <c r="H19" s="9">
        <v>-46696.85</v>
      </c>
      <c r="I19" s="64">
        <f>IF(H7="","", IF(H7&lt;=0,"*",H19*100/H7))</f>
        <v>-7.3791634207482382</v>
      </c>
      <c r="J19" s="9">
        <v>68052.06</v>
      </c>
      <c r="K19" s="64">
        <f>IF(J7="","", IF(J7&lt;=0,"*",J19*100/J7))</f>
        <v>12.585232083148121</v>
      </c>
    </row>
    <row r="20" spans="1:11" ht="12" customHeight="1">
      <c r="A20" s="76" t="s">
        <v>141</v>
      </c>
      <c r="B20" s="9"/>
      <c r="C20" s="64"/>
      <c r="D20" s="9"/>
      <c r="E20" s="64"/>
      <c r="F20" s="9"/>
      <c r="G20" s="64"/>
      <c r="H20" s="9"/>
      <c r="I20" s="64"/>
      <c r="J20" s="9"/>
      <c r="K20" s="64"/>
    </row>
    <row r="21" spans="1:11" ht="12" customHeight="1">
      <c r="A21" s="76"/>
      <c r="B21" s="9">
        <v>720067.76</v>
      </c>
      <c r="C21" s="64">
        <f>IF(B7="","", IF(B7&lt;=0,"*",B21*100/B7))</f>
        <v>156.54028778701948</v>
      </c>
      <c r="D21" s="9">
        <v>796431.33</v>
      </c>
      <c r="E21" s="64">
        <f>IF(D7="","", IF(D7&lt;=0,"*",D21*100/D7))</f>
        <v>167.05303958185357</v>
      </c>
      <c r="F21" s="9">
        <v>1010657.47</v>
      </c>
      <c r="G21" s="64">
        <f>IF(F7="","", IF(F7&lt;=0,"*",F21*100/F7))</f>
        <v>135.51069946709754</v>
      </c>
      <c r="H21" s="9">
        <v>773280</v>
      </c>
      <c r="I21" s="64">
        <f>IF(H7="","", IF(H7&lt;=0,"*",H21*100/H7))</f>
        <v>122.19581170884541</v>
      </c>
      <c r="J21" s="9">
        <v>574107.76</v>
      </c>
      <c r="K21" s="64">
        <f>IF(J7="","", IF(J7&lt;=0,"*",J21*100/J7))</f>
        <v>106.17282416338759</v>
      </c>
    </row>
    <row r="22" spans="1:11" ht="12" customHeight="1">
      <c r="A22" s="76" t="s">
        <v>142</v>
      </c>
      <c r="B22" s="9"/>
      <c r="C22" s="64"/>
      <c r="D22" s="9"/>
      <c r="E22" s="64"/>
      <c r="F22" s="9"/>
      <c r="G22" s="64"/>
      <c r="H22" s="9"/>
      <c r="I22" s="64"/>
      <c r="J22" s="9"/>
      <c r="K22" s="64"/>
    </row>
    <row r="23" spans="1:11" ht="12" customHeight="1">
      <c r="A23" s="76"/>
      <c r="B23" s="9">
        <v>291999</v>
      </c>
      <c r="C23" s="64">
        <f>IF(B7="","", IF(B7&lt;=0,"*",B23*100/B7))</f>
        <v>63.479591828305026</v>
      </c>
      <c r="D23" s="9">
        <v>360421.25</v>
      </c>
      <c r="E23" s="64">
        <f>IF(D7="","", IF(D7&lt;=0,"*",D23*100/D7))</f>
        <v>75.599066830270402</v>
      </c>
      <c r="F23" s="9">
        <v>581045.52</v>
      </c>
      <c r="G23" s="64">
        <f>IF(F7="","", IF(F7&lt;=0,"*",F23*100/F7))</f>
        <v>77.907587065500451</v>
      </c>
      <c r="H23" s="9">
        <v>334227.15999999997</v>
      </c>
      <c r="I23" s="64">
        <f>IF(H7="","", IF(H7&lt;=0,"*",H23*100/H7))</f>
        <v>52.815486125778683</v>
      </c>
      <c r="J23" s="9">
        <v>129599.31</v>
      </c>
      <c r="K23" s="64">
        <f>IF(J7="","", IF(J7&lt;=0,"*",J23*100/J7))</f>
        <v>23.967494799802669</v>
      </c>
    </row>
    <row r="24" spans="1:11" ht="12" customHeight="1">
      <c r="A24" s="76" t="s">
        <v>143</v>
      </c>
      <c r="B24" s="9"/>
      <c r="C24" s="64"/>
      <c r="D24" s="9"/>
      <c r="E24" s="64"/>
      <c r="F24" s="9"/>
      <c r="G24" s="64"/>
      <c r="H24" s="9"/>
      <c r="I24" s="64"/>
      <c r="J24" s="9"/>
      <c r="K24" s="64"/>
    </row>
    <row r="25" spans="1:11" ht="12" customHeight="1" thickBot="1">
      <c r="A25" s="80"/>
      <c r="B25" s="13">
        <v>428069.42</v>
      </c>
      <c r="C25" s="65">
        <f>IF(B7="","", IF(B7&lt;=0,"*",B25*100/B7))</f>
        <v>93.060839440475036</v>
      </c>
      <c r="D25" s="13">
        <v>436010.08</v>
      </c>
      <c r="E25" s="65">
        <f>IF(D7="","", IF(D7&lt;=0,"*",D25*100/D7))</f>
        <v>91.453972751583166</v>
      </c>
      <c r="F25" s="13">
        <v>429611.95</v>
      </c>
      <c r="G25" s="65">
        <f>IF(F7="","", IF(F7&lt;=0,"*",F25*100/F7))</f>
        <v>57.60311240159708</v>
      </c>
      <c r="H25" s="13">
        <v>439052.84</v>
      </c>
      <c r="I25" s="65">
        <f>IF(H7="","", IF(H7&lt;=0,"*",H25*100/H7))</f>
        <v>69.380325583066721</v>
      </c>
      <c r="J25" s="13">
        <v>444508.45</v>
      </c>
      <c r="K25" s="65">
        <f>IF(J7="","", IF(J7&lt;=0,"*",J25*100/J7))</f>
        <v>82.205329363584909</v>
      </c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 t="s">
        <v>144</v>
      </c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 t="s">
        <v>145</v>
      </c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 t="s">
        <v>146</v>
      </c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 t="s">
        <v>147</v>
      </c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 t="s">
        <v>148</v>
      </c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 t="s">
        <v>149</v>
      </c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 t="s">
        <v>150</v>
      </c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</row>
    <row r="38" spans="1:11" ht="11.9" customHeight="1">
      <c r="A38" s="15"/>
      <c r="B38" s="16"/>
      <c r="C38" s="17"/>
      <c r="D38" s="16"/>
      <c r="E38" s="17"/>
      <c r="F38" s="16"/>
      <c r="G38" s="17"/>
      <c r="H38" s="16"/>
      <c r="I38" s="17"/>
      <c r="J38" s="16"/>
      <c r="K38" s="17"/>
    </row>
    <row r="39" spans="1:11" ht="11.9" customHeight="1">
      <c r="A39" s="15"/>
      <c r="B39" s="16"/>
      <c r="C39" s="17"/>
      <c r="D39" s="16"/>
      <c r="E39" s="17"/>
      <c r="F39" s="16"/>
      <c r="G39" s="17"/>
      <c r="H39" s="16"/>
      <c r="I39" s="17"/>
      <c r="J39" s="16"/>
      <c r="K39" s="17"/>
    </row>
    <row r="40" spans="1:11" ht="11.9" customHeight="1">
      <c r="A40" s="15"/>
      <c r="B40" s="16"/>
      <c r="C40" s="17"/>
      <c r="D40" s="16"/>
      <c r="E40" s="17"/>
      <c r="F40" s="16"/>
      <c r="G40" s="17"/>
      <c r="H40" s="16"/>
      <c r="I40" s="17"/>
      <c r="J40" s="16"/>
      <c r="K40" s="17"/>
    </row>
    <row r="41" spans="1:11" ht="11.9" customHeight="1">
      <c r="A41" s="15"/>
      <c r="B41" s="16"/>
      <c r="C41" s="17"/>
      <c r="D41" s="16"/>
      <c r="E41" s="17"/>
      <c r="F41" s="16"/>
      <c r="G41" s="17"/>
      <c r="H41" s="16"/>
      <c r="I41" s="17"/>
      <c r="J41" s="16"/>
      <c r="K41" s="17"/>
    </row>
    <row r="42" spans="1:11" ht="11.9" customHeight="1">
      <c r="A42" s="15"/>
      <c r="B42" s="16"/>
      <c r="C42" s="17"/>
      <c r="D42" s="16"/>
      <c r="E42" s="17"/>
      <c r="F42" s="16"/>
      <c r="G42" s="17"/>
      <c r="H42" s="16"/>
      <c r="I42" s="17"/>
      <c r="J42" s="16"/>
      <c r="K42" s="17"/>
    </row>
    <row r="43" spans="1:11" ht="11.9" customHeight="1">
      <c r="A43" s="15"/>
      <c r="B43" s="16"/>
      <c r="C43" s="17"/>
      <c r="D43" s="16"/>
      <c r="E43" s="17"/>
      <c r="F43" s="16"/>
      <c r="G43" s="17"/>
      <c r="H43" s="16"/>
      <c r="I43" s="17"/>
      <c r="J43" s="16"/>
      <c r="K43" s="17"/>
    </row>
    <row r="44" spans="1:11" ht="11.9" customHeight="1">
      <c r="A44" s="15"/>
      <c r="B44" s="16"/>
      <c r="C44" s="17"/>
      <c r="D44" s="16"/>
      <c r="E44" s="17"/>
      <c r="F44" s="16"/>
      <c r="G44" s="17"/>
      <c r="H44" s="16"/>
      <c r="I44" s="17"/>
      <c r="J44" s="16"/>
      <c r="K44" s="17"/>
    </row>
    <row r="45" spans="1:11" ht="11.9" customHeight="1">
      <c r="A45" s="15"/>
      <c r="B45" s="16"/>
      <c r="C45" s="17"/>
      <c r="D45" s="16"/>
      <c r="E45" s="17"/>
      <c r="F45" s="16"/>
      <c r="G45" s="17"/>
      <c r="H45" s="16"/>
      <c r="I45" s="17"/>
      <c r="J45" s="16"/>
      <c r="K45" s="17"/>
    </row>
    <row r="46" spans="1:11" ht="11.9" customHeight="1">
      <c r="A46" s="15"/>
      <c r="B46" s="16"/>
      <c r="C46" s="17"/>
      <c r="D46" s="16"/>
      <c r="E46" s="17"/>
      <c r="F46" s="16"/>
      <c r="G46" s="17"/>
      <c r="H46" s="16"/>
      <c r="I46" s="17"/>
      <c r="J46" s="16"/>
      <c r="K46" s="17"/>
    </row>
    <row r="47" spans="1:11" ht="11.9" customHeight="1">
      <c r="A47" s="15"/>
      <c r="B47" s="16"/>
      <c r="C47" s="17"/>
      <c r="D47" s="16"/>
      <c r="E47" s="17"/>
      <c r="F47" s="16"/>
      <c r="G47" s="17"/>
      <c r="H47" s="16"/>
      <c r="I47" s="17"/>
      <c r="J47" s="16"/>
      <c r="K47" s="17"/>
    </row>
    <row r="48" spans="1:11" ht="11.9" customHeight="1">
      <c r="A48" s="15"/>
      <c r="B48" s="16"/>
      <c r="C48" s="17"/>
      <c r="D48" s="16"/>
      <c r="E48" s="17"/>
      <c r="F48" s="16"/>
      <c r="G48" s="17"/>
      <c r="H48" s="16"/>
      <c r="I48" s="17"/>
      <c r="J48" s="16"/>
      <c r="K48" s="17"/>
    </row>
    <row r="49" spans="1:11" ht="11.9" customHeight="1">
      <c r="A49" s="15"/>
      <c r="B49" s="16"/>
      <c r="C49" s="17"/>
      <c r="D49" s="16"/>
      <c r="E49" s="17"/>
      <c r="F49" s="16"/>
      <c r="G49" s="17"/>
      <c r="H49" s="16"/>
      <c r="I49" s="17"/>
      <c r="J49" s="16"/>
      <c r="K49" s="17"/>
    </row>
    <row r="50" spans="1:11" ht="11.9" customHeight="1"/>
    <row r="51" spans="1:11" ht="11.9" customHeight="1"/>
    <row r="52" spans="1:11" ht="11.9" customHeight="1"/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92" spans="1:10">
      <c r="A92" s="19"/>
      <c r="B92" s="20"/>
      <c r="D92" s="20"/>
      <c r="F92" s="20"/>
      <c r="H92" s="20"/>
      <c r="J92" s="20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  <row r="96" spans="1:10">
      <c r="A96" s="17"/>
      <c r="B96" s="16"/>
      <c r="D96" s="16"/>
      <c r="F96" s="16"/>
      <c r="H96" s="16"/>
      <c r="J96" s="16"/>
    </row>
    <row r="97" spans="1:10">
      <c r="A97" s="17"/>
      <c r="B97" s="16"/>
      <c r="D97" s="16"/>
      <c r="F97" s="16"/>
      <c r="H97" s="16"/>
      <c r="J97" s="16"/>
    </row>
    <row r="98" spans="1:10">
      <c r="A98" s="17"/>
      <c r="B98" s="16"/>
      <c r="D98" s="16"/>
      <c r="F98" s="16"/>
      <c r="H98" s="16"/>
      <c r="J98" s="16"/>
    </row>
    <row r="99" spans="1:10">
      <c r="A99" s="17"/>
      <c r="B99" s="16"/>
      <c r="D99" s="16"/>
      <c r="F99" s="16"/>
      <c r="H99" s="16"/>
      <c r="J99" s="16"/>
    </row>
    <row r="100" spans="1:10">
      <c r="A100" s="15"/>
      <c r="B100" s="16"/>
      <c r="D100" s="16"/>
      <c r="F100" s="16"/>
      <c r="H100" s="16"/>
      <c r="J100" s="16"/>
    </row>
    <row r="101" spans="1:10">
      <c r="A101" s="15"/>
      <c r="B101" s="16"/>
      <c r="D101" s="16"/>
      <c r="F101" s="16"/>
      <c r="H101" s="16"/>
      <c r="J101" s="16"/>
    </row>
    <row r="102" spans="1:10">
      <c r="A102" s="15"/>
      <c r="B102" s="16"/>
      <c r="D102" s="16"/>
      <c r="F102" s="16"/>
      <c r="H102" s="16"/>
      <c r="J102" s="16"/>
    </row>
    <row r="103" spans="1:10">
      <c r="A103" s="15"/>
      <c r="B103" s="16"/>
      <c r="D103" s="16"/>
      <c r="F103" s="16"/>
      <c r="H103" s="16"/>
      <c r="J103" s="16"/>
    </row>
    <row r="104" spans="1:10">
      <c r="A104" s="15"/>
      <c r="B104" s="16"/>
      <c r="D104" s="16"/>
      <c r="F104" s="16"/>
      <c r="H104" s="16"/>
      <c r="J104" s="16"/>
    </row>
    <row r="105" spans="1:10">
      <c r="A105" s="15"/>
      <c r="B105" s="16"/>
      <c r="D105" s="16"/>
      <c r="F105" s="16"/>
      <c r="H105" s="16"/>
      <c r="J105" s="16"/>
    </row>
    <row r="106" spans="1:10">
      <c r="A106" s="15"/>
      <c r="B106" s="16"/>
      <c r="D106" s="16"/>
      <c r="F106" s="16"/>
      <c r="H106" s="16"/>
      <c r="J106" s="16"/>
    </row>
    <row r="107" spans="1:10">
      <c r="A107" s="17"/>
      <c r="B107" s="16"/>
      <c r="D107" s="16"/>
      <c r="F107" s="16"/>
      <c r="H107" s="16"/>
      <c r="J107" s="16"/>
    </row>
    <row r="108" spans="1:10">
      <c r="A108" s="17"/>
      <c r="B108" s="16"/>
      <c r="D108" s="16"/>
      <c r="F108" s="16"/>
      <c r="H108" s="16"/>
      <c r="J108" s="16"/>
    </row>
  </sheetData>
  <mergeCells count="16">
    <mergeCell ref="A22:A23"/>
    <mergeCell ref="A24:A25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5342-2DA2-463E-9B05-5265C56FFD05}">
  <dimension ref="A1:F79"/>
  <sheetViews>
    <sheetView zoomScaleNormal="100" workbookViewId="0"/>
  </sheetViews>
  <sheetFormatPr defaultColWidth="9" defaultRowHeight="11"/>
  <cols>
    <col min="1" max="1" width="26.08984375" style="2" customWidth="1"/>
    <col min="2" max="6" width="17.26953125" style="2" customWidth="1"/>
    <col min="7" max="16384" width="9" style="2"/>
  </cols>
  <sheetData>
    <row r="1" spans="1:6" ht="19">
      <c r="B1" s="1" t="s">
        <v>151</v>
      </c>
    </row>
    <row r="3" spans="1:6" ht="11.5" thickBot="1">
      <c r="F3" s="3" t="s">
        <v>152</v>
      </c>
    </row>
    <row r="4" spans="1:6" ht="12" customHeight="1">
      <c r="A4" s="86" t="s">
        <v>153</v>
      </c>
      <c r="B4" s="50">
        <v>2003</v>
      </c>
      <c r="C4" s="50">
        <v>2004</v>
      </c>
      <c r="D4" s="50">
        <v>2005</v>
      </c>
      <c r="E4" s="50">
        <v>2006</v>
      </c>
      <c r="F4" s="50">
        <v>2007</v>
      </c>
    </row>
    <row r="5" spans="1:6" ht="12" customHeight="1" thickBot="1">
      <c r="A5" s="104"/>
      <c r="B5" s="66"/>
      <c r="C5" s="66"/>
      <c r="D5" s="66"/>
      <c r="E5" s="66"/>
      <c r="F5" s="66"/>
    </row>
    <row r="6" spans="1:6" ht="12" customHeight="1">
      <c r="A6" s="75" t="s">
        <v>154</v>
      </c>
      <c r="B6" s="67"/>
      <c r="C6" s="67"/>
      <c r="D6" s="67"/>
      <c r="E6" s="67"/>
      <c r="F6" s="67"/>
    </row>
    <row r="7" spans="1:6" ht="12" customHeight="1">
      <c r="A7" s="76"/>
      <c r="B7" s="68">
        <v>28.284274</v>
      </c>
      <c r="C7" s="68">
        <v>29.844179</v>
      </c>
      <c r="D7" s="68">
        <v>30.053412000000002</v>
      </c>
      <c r="E7" s="68">
        <v>32.758777000000002</v>
      </c>
      <c r="F7" s="68">
        <v>33.529057999999999</v>
      </c>
    </row>
    <row r="8" spans="1:6" ht="12" customHeight="1">
      <c r="A8" s="76" t="s">
        <v>155</v>
      </c>
      <c r="B8" s="69"/>
      <c r="C8" s="69"/>
      <c r="D8" s="69"/>
      <c r="E8" s="69"/>
      <c r="F8" s="69"/>
    </row>
    <row r="9" spans="1:6" ht="12" customHeight="1">
      <c r="A9" s="76"/>
      <c r="B9" s="68">
        <v>40.740771000000002</v>
      </c>
      <c r="C9" s="68">
        <v>42.344006</v>
      </c>
      <c r="D9" s="68">
        <v>42.704486000000003</v>
      </c>
      <c r="E9" s="68">
        <v>43.817321</v>
      </c>
      <c r="F9" s="68">
        <v>43.806963000000003</v>
      </c>
    </row>
    <row r="10" spans="1:6" ht="12" customHeight="1">
      <c r="A10" s="76" t="s">
        <v>156</v>
      </c>
      <c r="B10" s="69"/>
      <c r="C10" s="69"/>
      <c r="D10" s="69"/>
      <c r="E10" s="69"/>
      <c r="F10" s="69"/>
    </row>
    <row r="11" spans="1:6" ht="12" customHeight="1" thickBot="1">
      <c r="A11" s="80"/>
      <c r="B11" s="70">
        <v>22.462358999999999</v>
      </c>
      <c r="C11" s="70">
        <v>24.178650999999999</v>
      </c>
      <c r="D11" s="70">
        <v>24.304015</v>
      </c>
      <c r="E11" s="70">
        <v>27.682269000000002</v>
      </c>
      <c r="F11" s="70">
        <v>28.478815000000001</v>
      </c>
    </row>
    <row r="12" spans="1:6" ht="12" customHeight="1">
      <c r="A12" s="76" t="s">
        <v>157</v>
      </c>
      <c r="B12" s="69"/>
      <c r="C12" s="69"/>
      <c r="D12" s="69"/>
      <c r="E12" s="69"/>
      <c r="F12" s="69"/>
    </row>
    <row r="13" spans="1:6" ht="12" customHeight="1">
      <c r="A13" s="76"/>
      <c r="B13" s="69"/>
      <c r="C13" s="69"/>
      <c r="D13" s="69"/>
      <c r="E13" s="69"/>
      <c r="F13" s="69"/>
    </row>
    <row r="14" spans="1:6" ht="12" customHeight="1">
      <c r="A14" s="76" t="s">
        <v>158</v>
      </c>
      <c r="B14" s="69"/>
      <c r="C14" s="69"/>
      <c r="D14" s="69"/>
      <c r="E14" s="69"/>
      <c r="F14" s="69"/>
    </row>
    <row r="15" spans="1:6" ht="12" customHeight="1">
      <c r="A15" s="76"/>
      <c r="B15" s="68">
        <v>35.749099000000001</v>
      </c>
      <c r="C15" s="68">
        <v>37.376471000000002</v>
      </c>
      <c r="D15" s="68">
        <v>39.142707999999999</v>
      </c>
      <c r="E15" s="68">
        <v>39.350585000000002</v>
      </c>
      <c r="F15" s="68">
        <v>39.346755999999999</v>
      </c>
    </row>
    <row r="16" spans="1:6" ht="12" customHeight="1">
      <c r="A16" s="76" t="s">
        <v>159</v>
      </c>
      <c r="B16" s="69"/>
      <c r="C16" s="69"/>
      <c r="D16" s="69"/>
      <c r="E16" s="69"/>
      <c r="F16" s="69"/>
    </row>
    <row r="17" spans="1:6" ht="12" customHeight="1">
      <c r="A17" s="76"/>
      <c r="B17" s="68">
        <v>25.249368</v>
      </c>
      <c r="C17" s="68">
        <v>27.786017999999999</v>
      </c>
      <c r="D17" s="68">
        <v>25.963553000000001</v>
      </c>
      <c r="E17" s="68">
        <v>28.967372999999998</v>
      </c>
      <c r="F17" s="68">
        <v>31.537877000000002</v>
      </c>
    </row>
    <row r="18" spans="1:6" ht="12" customHeight="1">
      <c r="A18" s="76" t="s">
        <v>160</v>
      </c>
      <c r="B18" s="69"/>
      <c r="C18" s="69"/>
      <c r="D18" s="69"/>
      <c r="E18" s="69"/>
      <c r="F18" s="69"/>
    </row>
    <row r="19" spans="1:6" ht="12" customHeight="1">
      <c r="A19" s="76"/>
      <c r="B19" s="68">
        <v>23.264529</v>
      </c>
      <c r="C19" s="68">
        <v>23.405417</v>
      </c>
      <c r="D19" s="68">
        <v>22.599941000000001</v>
      </c>
      <c r="E19" s="68">
        <v>28.967642000000001</v>
      </c>
      <c r="F19" s="68">
        <v>29.627268999999998</v>
      </c>
    </row>
    <row r="20" spans="1:6" ht="12" customHeight="1">
      <c r="A20" s="76" t="s">
        <v>161</v>
      </c>
      <c r="B20" s="69"/>
      <c r="C20" s="69"/>
      <c r="D20" s="69"/>
      <c r="E20" s="69"/>
      <c r="F20" s="69"/>
    </row>
    <row r="21" spans="1:6" ht="12" customHeight="1" thickBot="1">
      <c r="A21" s="80"/>
      <c r="B21" s="70">
        <v>4.5426460000000004</v>
      </c>
      <c r="C21" s="70">
        <v>11.518001</v>
      </c>
      <c r="D21" s="70">
        <v>10.077757999999999</v>
      </c>
      <c r="E21" s="70">
        <v>9.8751060000000006</v>
      </c>
      <c r="F21" s="70">
        <v>11.519983</v>
      </c>
    </row>
    <row r="22" spans="1:6" ht="7.5" customHeight="1"/>
    <row r="23" spans="1:6" ht="11.9" customHeight="1">
      <c r="A23" s="98" t="s">
        <v>162</v>
      </c>
      <c r="B23" s="99" t="s">
        <v>163</v>
      </c>
      <c r="C23" s="99"/>
      <c r="D23" s="98" t="s">
        <v>164</v>
      </c>
    </row>
    <row r="24" spans="1:6" ht="11.9" customHeight="1">
      <c r="A24" s="98"/>
      <c r="B24" s="105" t="s">
        <v>165</v>
      </c>
      <c r="C24" s="105"/>
      <c r="D24" s="98"/>
    </row>
    <row r="25" spans="1:6" s="58" customFormat="1" ht="11.9" customHeight="1">
      <c r="A25" s="58" t="s">
        <v>166</v>
      </c>
    </row>
    <row r="26" spans="1:6" ht="11.9" customHeight="1"/>
    <row r="27" spans="1:6" ht="11.9" customHeight="1"/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63" spans="1:6">
      <c r="A63" s="19"/>
      <c r="B63" s="20"/>
      <c r="C63" s="20"/>
      <c r="D63" s="20"/>
      <c r="E63" s="20"/>
      <c r="F63" s="20"/>
    </row>
    <row r="64" spans="1:6">
      <c r="A64" s="15"/>
      <c r="B64" s="16"/>
      <c r="C64" s="16"/>
      <c r="D64" s="16"/>
      <c r="E64" s="16"/>
      <c r="F64" s="16"/>
    </row>
    <row r="65" spans="1:6">
      <c r="A65" s="17"/>
      <c r="B65" s="16"/>
      <c r="C65" s="16"/>
      <c r="D65" s="16"/>
      <c r="E65" s="16"/>
      <c r="F65" s="16"/>
    </row>
    <row r="66" spans="1:6">
      <c r="A66" s="17"/>
      <c r="B66" s="16"/>
      <c r="C66" s="16"/>
      <c r="D66" s="16"/>
      <c r="E66" s="16"/>
      <c r="F66" s="16"/>
    </row>
    <row r="67" spans="1:6">
      <c r="A67" s="17"/>
      <c r="B67" s="16"/>
      <c r="C67" s="16"/>
      <c r="D67" s="16"/>
      <c r="E67" s="16"/>
      <c r="F67" s="16"/>
    </row>
    <row r="68" spans="1:6">
      <c r="A68" s="17"/>
      <c r="B68" s="16"/>
      <c r="C68" s="16"/>
      <c r="D68" s="16"/>
      <c r="E68" s="16"/>
      <c r="F68" s="16"/>
    </row>
    <row r="69" spans="1:6">
      <c r="A69" s="17"/>
      <c r="B69" s="16"/>
      <c r="C69" s="16"/>
      <c r="D69" s="16"/>
      <c r="E69" s="16"/>
      <c r="F69" s="16"/>
    </row>
    <row r="70" spans="1:6">
      <c r="A70" s="17"/>
      <c r="B70" s="16"/>
      <c r="C70" s="16"/>
      <c r="D70" s="16"/>
      <c r="E70" s="16"/>
      <c r="F70" s="16"/>
    </row>
    <row r="71" spans="1:6">
      <c r="A71" s="15"/>
      <c r="B71" s="16"/>
      <c r="C71" s="16"/>
      <c r="D71" s="16"/>
      <c r="E71" s="16"/>
      <c r="F71" s="16"/>
    </row>
    <row r="72" spans="1:6">
      <c r="A72" s="15"/>
      <c r="B72" s="16"/>
      <c r="C72" s="16"/>
      <c r="D72" s="16"/>
      <c r="E72" s="16"/>
      <c r="F72" s="16"/>
    </row>
    <row r="73" spans="1:6">
      <c r="A73" s="15"/>
      <c r="B73" s="16"/>
      <c r="C73" s="16"/>
      <c r="D73" s="16"/>
      <c r="E73" s="16"/>
      <c r="F73" s="16"/>
    </row>
    <row r="74" spans="1:6">
      <c r="A74" s="15"/>
      <c r="B74" s="16"/>
      <c r="C74" s="16"/>
      <c r="D74" s="16"/>
      <c r="E74" s="16"/>
      <c r="F74" s="16"/>
    </row>
    <row r="75" spans="1:6">
      <c r="A75" s="15"/>
      <c r="B75" s="16"/>
      <c r="C75" s="16"/>
      <c r="D75" s="16"/>
      <c r="E75" s="16"/>
      <c r="F75" s="16"/>
    </row>
    <row r="76" spans="1:6">
      <c r="A76" s="15"/>
      <c r="B76" s="16"/>
      <c r="C76" s="16"/>
      <c r="D76" s="16"/>
      <c r="E76" s="16"/>
      <c r="F76" s="16"/>
    </row>
    <row r="77" spans="1:6">
      <c r="A77" s="15"/>
      <c r="B77" s="16"/>
      <c r="C77" s="16"/>
      <c r="D77" s="16"/>
      <c r="E77" s="16"/>
      <c r="F77" s="16"/>
    </row>
    <row r="78" spans="1:6">
      <c r="A78" s="17"/>
      <c r="B78" s="16"/>
      <c r="C78" s="16"/>
      <c r="D78" s="16"/>
      <c r="E78" s="16"/>
      <c r="F78" s="16"/>
    </row>
    <row r="79" spans="1:6">
      <c r="A79" s="17"/>
      <c r="B79" s="16"/>
      <c r="C79" s="16"/>
      <c r="D79" s="16"/>
      <c r="E79" s="16"/>
      <c r="F79" s="16"/>
    </row>
  </sheetData>
  <mergeCells count="13">
    <mergeCell ref="A16:A17"/>
    <mergeCell ref="A18:A19"/>
    <mergeCell ref="A20:A21"/>
    <mergeCell ref="A23:A24"/>
    <mergeCell ref="B23:C23"/>
    <mergeCell ref="D23:D24"/>
    <mergeCell ref="B24:C24"/>
    <mergeCell ref="A4:A5"/>
    <mergeCell ref="A6:A7"/>
    <mergeCell ref="A8:A9"/>
    <mergeCell ref="A10:A11"/>
    <mergeCell ref="A12:A13"/>
    <mergeCell ref="A14:A15"/>
  </mergeCells>
  <phoneticPr fontId="1"/>
  <pageMargins left="0.75" right="0.75" top="1" bottom="1" header="0.51200000000000001" footer="0.51200000000000001"/>
  <pageSetup paperSize="9" scale="8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B</cp:lastModifiedBy>
  <cp:lastPrinted>2008-09-04T05:58:00Z</cp:lastPrinted>
  <dcterms:created xsi:type="dcterms:W3CDTF">1997-01-08T22:48:59Z</dcterms:created>
  <dcterms:modified xsi:type="dcterms:W3CDTF">2026-04-16T11:40:34Z</dcterms:modified>
</cp:coreProperties>
</file>